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61bea21f8da5e80/Área de Trabalho/Excel/data-analytics-portfolio/dashboards/financial-dashboard-excel/"/>
    </mc:Choice>
  </mc:AlternateContent>
  <xr:revisionPtr revIDLastSave="69456" documentId="8_{25351DEA-42C1-45DE-833A-663EFA632360}" xr6:coauthVersionLast="47" xr6:coauthVersionMax="47" xr10:uidLastSave="{8000016E-2F7E-4DE3-AAE0-9AECB19146F6}"/>
  <bookViews>
    <workbookView xWindow="-120" yWindow="-120" windowWidth="29040" windowHeight="15720" xr2:uid="{032B482E-28CE-4746-9E17-ADF98F8E9878}"/>
  </bookViews>
  <sheets>
    <sheet name="Dashboard" sheetId="6" r:id="rId1"/>
    <sheet name="Resumo" sheetId="7" state="veryHidden" r:id="rId2"/>
    <sheet name="Parametros" sheetId="15" state="veryHidden" r:id="rId3"/>
    <sheet name="ContaCorrente" sheetId="11" state="veryHidden" r:id="rId4"/>
    <sheet name="Calendario" sheetId="13" state="veryHidden" r:id="rId5"/>
    <sheet name="CartaoCredito" sheetId="12" state="veryHidden" r:id="rId6"/>
    <sheet name="Base" sheetId="1" state="veryHidden" r:id="rId7"/>
  </sheets>
  <functionGroups builtInGroupCount="19"/>
  <definedNames>
    <definedName name="_xlcn.WorksheetConnection_Mostruário.xlsmtbMetas" hidden="1">tbMetas[]</definedName>
    <definedName name="_xlcn.WorksheetConnection_Mostruário.xlsxContaCorrente_" hidden="1">ContaCorrente_[]</definedName>
    <definedName name="_xlcn.WorksheetConnection_Mostruário.xlsxdCalendario" hidden="1">dCalendario[]</definedName>
    <definedName name="DadosExternos_1" localSheetId="5" hidden="1">'CartaoCredito'!$A$1:$M$27</definedName>
    <definedName name="DadosExternos_1" localSheetId="3" hidden="1">'ContaCorrente'!$A$1:$P$59</definedName>
    <definedName name="SegmentaçãodeDados_Mês">#N/A</definedName>
  </definedNames>
  <calcPr calcId="191029"/>
  <pivotCaches>
    <pivotCache cacheId="0" r:id="rId8"/>
    <pivotCache cacheId="1" r:id="rId9"/>
    <pivotCache cacheId="2" r:id="rId10"/>
    <pivotCache cacheId="3" r:id="rId11"/>
    <pivotCache cacheId="4" r:id="rId12"/>
    <pivotCache cacheId="5" r:id="rId13"/>
    <pivotCache cacheId="6" r:id="rId14"/>
    <pivotCache cacheId="7" r:id="rId15"/>
    <pivotCache cacheId="8" r:id="rId16"/>
    <pivotCache cacheId="9" r:id="rId17"/>
    <pivotCache cacheId="10" r:id="rId18"/>
    <pivotCache cacheId="11" r:id="rId19"/>
    <pivotCache cacheId="12" r:id="rId20"/>
    <pivotCache cacheId="13" r:id="rId21"/>
    <pivotCache cacheId="14" r:id="rId22"/>
    <pivotCache cacheId="15" r:id="rId23"/>
    <pivotCache cacheId="16" r:id="rId24"/>
    <pivotCache cacheId="17" r:id="rId25"/>
    <pivotCache cacheId="18" r:id="rId26"/>
    <pivotCache cacheId="19" r:id="rId27"/>
  </pivotCaches>
  <extLst>
    <ext xmlns:x14="http://schemas.microsoft.com/office/spreadsheetml/2009/9/main" uri="{876F7934-8845-4945-9796-88D515C7AA90}">
      <x14:pivotCaches>
        <pivotCache cacheId="20" r:id="rId28"/>
      </x14:pivotCaches>
    </ext>
    <ext xmlns:x14="http://schemas.microsoft.com/office/spreadsheetml/2009/9/main" uri="{BBE1A952-AA13-448e-AADC-164F8A28A991}">
      <x14:slicerCaches>
        <x14:slicerCache r:id="rId2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Calendario" name="dCalendario" connection="WorksheetConnection_Mostruário.xlsx!dCalendario"/>
          <x15:modelTable id="ContaCorrente_" name="ContaCorrente_" connection="WorksheetConnection_Mostruário.xlsx!ContaCorrente_"/>
          <x15:modelTable id="tbMetas" name="tbMetas" connection="WorksheetConnection_Mostruário.xlsm!tbMetas"/>
        </x15:modelTables>
        <x15:modelRelationships>
          <x15:modelRelationship fromTable="ContaCorrente_" fromColumn="Data" toTable="dCalendario" toColumn="Data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ContaCorrente_" columnName="Mês/Ano" columnId="Mês Ano">
                <x16:calculatedTimeColumn columnName="Mês/Ano (Índice de Mês)" columnId="Mês Ano (Índice de Mês)" contentType="monthsindex" isSelected="1"/>
                <x16:calculatedTimeColumn columnName="Mês/Ano (Mês)" columnId="Mês Ano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" i="11" l="1"/>
  <c r="H29" i="11" s="1"/>
  <c r="D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F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E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A2" i="13"/>
  <c r="H10" i="1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W30" i="1"/>
  <c r="V30" i="1"/>
  <c r="U30" i="1"/>
  <c r="Q30" i="1" s="1"/>
  <c r="O30" i="1"/>
  <c r="W29" i="1"/>
  <c r="V29" i="1"/>
  <c r="U29" i="1"/>
  <c r="Q29" i="1"/>
  <c r="O29" i="1"/>
  <c r="W28" i="1"/>
  <c r="V28" i="1"/>
  <c r="U28" i="1"/>
  <c r="Q28" i="1" s="1"/>
  <c r="O28" i="1"/>
  <c r="W27" i="1"/>
  <c r="V27" i="1"/>
  <c r="U27" i="1"/>
  <c r="Q27" i="1" s="1"/>
  <c r="O27" i="1"/>
  <c r="W26" i="1"/>
  <c r="V26" i="1"/>
  <c r="U26" i="1"/>
  <c r="Q26" i="1" s="1"/>
  <c r="O26" i="1"/>
  <c r="W25" i="1"/>
  <c r="V25" i="1"/>
  <c r="U25" i="1"/>
  <c r="Q25" i="1"/>
  <c r="O25" i="1"/>
  <c r="W24" i="1"/>
  <c r="V24" i="1"/>
  <c r="U24" i="1"/>
  <c r="Q24" i="1" s="1"/>
  <c r="O24" i="1"/>
  <c r="W23" i="1"/>
  <c r="V23" i="1"/>
  <c r="U23" i="1"/>
  <c r="Q23" i="1"/>
  <c r="O23" i="1"/>
  <c r="W22" i="1"/>
  <c r="V22" i="1"/>
  <c r="U22" i="1"/>
  <c r="Q22" i="1" s="1"/>
  <c r="O22" i="1"/>
  <c r="W21" i="1"/>
  <c r="V21" i="1"/>
  <c r="U21" i="1"/>
  <c r="Q21" i="1"/>
  <c r="O21" i="1"/>
  <c r="W20" i="1"/>
  <c r="V20" i="1"/>
  <c r="U20" i="1"/>
  <c r="Q20" i="1" s="1"/>
  <c r="O20" i="1"/>
  <c r="W19" i="1"/>
  <c r="V19" i="1"/>
  <c r="U19" i="1"/>
  <c r="Q19" i="1" s="1"/>
  <c r="O19" i="1"/>
  <c r="W18" i="1"/>
  <c r="V18" i="1"/>
  <c r="U18" i="1"/>
  <c r="Q18" i="1" s="1"/>
  <c r="O18" i="1"/>
  <c r="W17" i="1"/>
  <c r="V17" i="1"/>
  <c r="U17" i="1"/>
  <c r="Q17" i="1"/>
  <c r="O17" i="1"/>
  <c r="W16" i="1"/>
  <c r="V16" i="1"/>
  <c r="U16" i="1"/>
  <c r="Q16" i="1" s="1"/>
  <c r="O16" i="1"/>
  <c r="W15" i="1"/>
  <c r="V15" i="1"/>
  <c r="U15" i="1"/>
  <c r="Q15" i="1"/>
  <c r="O15" i="1"/>
  <c r="W14" i="1"/>
  <c r="V14" i="1"/>
  <c r="U14" i="1"/>
  <c r="Q14" i="1" s="1"/>
  <c r="O14" i="1"/>
  <c r="W13" i="1"/>
  <c r="V13" i="1"/>
  <c r="U13" i="1"/>
  <c r="Q13" i="1"/>
  <c r="O13" i="1"/>
  <c r="W12" i="1"/>
  <c r="V12" i="1"/>
  <c r="U12" i="1"/>
  <c r="Q12" i="1" s="1"/>
  <c r="O12" i="1"/>
  <c r="W11" i="1"/>
  <c r="V11" i="1"/>
  <c r="U11" i="1"/>
  <c r="Q11" i="1" s="1"/>
  <c r="O11" i="1"/>
  <c r="W10" i="1"/>
  <c r="V10" i="1"/>
  <c r="U10" i="1"/>
  <c r="Q10" i="1" s="1"/>
  <c r="O10" i="1"/>
  <c r="W9" i="1"/>
  <c r="V9" i="1"/>
  <c r="U9" i="1"/>
  <c r="Q9" i="1"/>
  <c r="O9" i="1"/>
  <c r="W8" i="1"/>
  <c r="V8" i="1"/>
  <c r="U8" i="1"/>
  <c r="Q8" i="1" s="1"/>
  <c r="O8" i="1"/>
  <c r="W7" i="1"/>
  <c r="V7" i="1"/>
  <c r="U7" i="1"/>
  <c r="Q7" i="1" s="1"/>
  <c r="O7" i="1"/>
  <c r="W6" i="1"/>
  <c r="V6" i="1"/>
  <c r="U6" i="1"/>
  <c r="Q6" i="1" s="1"/>
  <c r="O6" i="1"/>
  <c r="W5" i="1"/>
  <c r="V5" i="1"/>
  <c r="U5" i="1"/>
  <c r="Q5" i="1"/>
  <c r="O5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G29" i="1"/>
  <c r="E5" i="1"/>
  <c r="F5" i="1"/>
  <c r="G5" i="1"/>
  <c r="E6" i="1"/>
  <c r="F6" i="1"/>
  <c r="G6" i="1"/>
  <c r="E7" i="1"/>
  <c r="F7" i="1"/>
  <c r="G7" i="1"/>
  <c r="E8" i="1"/>
  <c r="F8" i="1"/>
  <c r="G8" i="1"/>
  <c r="E9" i="1"/>
  <c r="F9" i="1"/>
  <c r="G9" i="1"/>
  <c r="E10" i="1"/>
  <c r="F10" i="1"/>
  <c r="G10" i="1"/>
  <c r="E11" i="1"/>
  <c r="F11" i="1"/>
  <c r="G11" i="1"/>
  <c r="E12" i="1"/>
  <c r="F12" i="1"/>
  <c r="G12" i="1"/>
  <c r="E13" i="1"/>
  <c r="F13" i="1"/>
  <c r="G13" i="1"/>
  <c r="E14" i="1"/>
  <c r="F14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C22" i="7"/>
  <c r="A20" i="7"/>
  <c r="F24" i="7"/>
  <c r="B20" i="7"/>
  <c r="D20" i="7"/>
  <c r="E24" i="7"/>
  <c r="C20" i="7"/>
  <c r="H20" i="7"/>
  <c r="D22" i="7"/>
  <c r="C24" i="7"/>
  <c r="F20" i="7"/>
  <c r="G20" i="7"/>
  <c r="E22" i="7"/>
  <c r="B22" i="7"/>
  <c r="A24" i="7"/>
  <c r="A22" i="7"/>
  <c r="E20" i="7"/>
  <c r="D24" i="7"/>
  <c r="B24" i="7" l="1"/>
  <c r="A3" i="13"/>
  <c r="G2" i="13"/>
  <c r="C2" i="13"/>
  <c r="B2" i="13"/>
  <c r="A4" i="13" l="1"/>
  <c r="G3" i="13"/>
  <c r="C3" i="13"/>
  <c r="B3" i="13"/>
  <c r="G4" i="13" l="1"/>
  <c r="C4" i="13"/>
  <c r="B4" i="13"/>
  <c r="A5" i="13"/>
  <c r="B5" i="13" l="1"/>
  <c r="G5" i="13"/>
  <c r="C5" i="13"/>
  <c r="A6" i="13"/>
  <c r="B6" i="13" l="1"/>
  <c r="A7" i="13"/>
  <c r="C6" i="13"/>
  <c r="G6" i="13"/>
  <c r="A8" i="13" l="1"/>
  <c r="G7" i="13"/>
  <c r="C7" i="13"/>
  <c r="B7" i="13"/>
  <c r="A9" i="13" l="1"/>
  <c r="G8" i="13"/>
  <c r="C8" i="13"/>
  <c r="B8" i="13"/>
  <c r="B9" i="13" l="1"/>
  <c r="G9" i="13"/>
  <c r="C9" i="13"/>
  <c r="A10" i="13"/>
  <c r="G10" i="13" l="1"/>
  <c r="B10" i="13"/>
  <c r="A11" i="13"/>
  <c r="C10" i="13"/>
  <c r="G11" i="13" l="1"/>
  <c r="C11" i="13"/>
  <c r="B11" i="13"/>
  <c r="A12" i="13"/>
  <c r="G12" i="13" l="1"/>
  <c r="C12" i="13"/>
  <c r="A13" i="13"/>
  <c r="B12" i="13"/>
  <c r="A14" i="13" l="1"/>
  <c r="G13" i="13"/>
  <c r="C13" i="13"/>
  <c r="B13" i="13"/>
  <c r="G14" i="13" l="1"/>
  <c r="B14" i="13"/>
  <c r="A15" i="13"/>
  <c r="C14" i="13"/>
  <c r="G15" i="13" l="1"/>
  <c r="A16" i="13"/>
  <c r="C15" i="13"/>
  <c r="B15" i="13"/>
  <c r="A17" i="13" l="1"/>
  <c r="G16" i="13"/>
  <c r="C16" i="13"/>
  <c r="B16" i="13"/>
  <c r="A18" i="13" l="1"/>
  <c r="G17" i="13"/>
  <c r="C17" i="13"/>
  <c r="B17" i="13"/>
  <c r="G18" i="13" l="1"/>
  <c r="C18" i="13"/>
  <c r="B18" i="13"/>
  <c r="A19" i="13"/>
  <c r="G19" i="13" l="1"/>
  <c r="B19" i="13"/>
  <c r="A20" i="13"/>
  <c r="C19" i="13"/>
  <c r="G20" i="13" l="1"/>
  <c r="B20" i="13"/>
  <c r="A21" i="13"/>
  <c r="C20" i="13"/>
  <c r="A22" i="13" l="1"/>
  <c r="G21" i="13"/>
  <c r="C21" i="13"/>
  <c r="B21" i="13"/>
  <c r="G22" i="13" l="1"/>
  <c r="B22" i="13"/>
  <c r="A23" i="13"/>
  <c r="C22" i="13"/>
  <c r="G23" i="13" l="1"/>
  <c r="C23" i="13"/>
  <c r="A24" i="13"/>
  <c r="B23" i="13"/>
  <c r="B24" i="13" l="1"/>
  <c r="A25" i="13"/>
  <c r="G24" i="13"/>
  <c r="C24" i="13"/>
  <c r="G25" i="13" l="1"/>
  <c r="C25" i="13"/>
  <c r="B25" i="13"/>
  <c r="A26" i="13"/>
  <c r="G26" i="13" l="1"/>
  <c r="B26" i="13"/>
  <c r="A27" i="13"/>
  <c r="C26" i="13"/>
  <c r="C27" i="13" l="1"/>
  <c r="B27" i="13"/>
  <c r="A28" i="13"/>
  <c r="G27" i="13"/>
  <c r="A29" i="13" l="1"/>
  <c r="C28" i="13"/>
  <c r="G28" i="13"/>
  <c r="B28" i="13"/>
  <c r="G29" i="13" l="1"/>
  <c r="C29" i="13"/>
  <c r="B29" i="13"/>
  <c r="A30" i="13"/>
  <c r="G30" i="13" l="1"/>
  <c r="A31" i="13"/>
  <c r="C30" i="13"/>
  <c r="B30" i="13"/>
  <c r="C31" i="13" l="1"/>
  <c r="B31" i="13"/>
  <c r="A32" i="13"/>
  <c r="G31" i="13"/>
  <c r="G32" i="13" l="1"/>
  <c r="C32" i="13"/>
  <c r="A33" i="13"/>
  <c r="B32" i="13"/>
  <c r="G33" i="13" l="1"/>
  <c r="C33" i="13"/>
  <c r="B33" i="13"/>
  <c r="A34" i="13"/>
  <c r="G34" i="13" l="1"/>
  <c r="C34" i="13"/>
  <c r="B34" i="13"/>
  <c r="A35" i="13"/>
  <c r="C35" i="13" l="1"/>
  <c r="B35" i="13"/>
  <c r="A36" i="13"/>
  <c r="G35" i="13"/>
  <c r="C36" i="13" l="1"/>
  <c r="G36" i="13"/>
  <c r="B36" i="13"/>
  <c r="A37" i="13"/>
  <c r="A38" i="13" l="1"/>
  <c r="G37" i="13"/>
  <c r="C37" i="13"/>
  <c r="B37" i="13"/>
  <c r="G38" i="13" l="1"/>
  <c r="A39" i="13"/>
  <c r="C38" i="13"/>
  <c r="B38" i="13"/>
  <c r="G39" i="13" l="1"/>
  <c r="C39" i="13"/>
  <c r="B39" i="13"/>
  <c r="A40" i="13"/>
  <c r="B40" i="13" l="1"/>
  <c r="A41" i="13"/>
  <c r="G40" i="13"/>
  <c r="C40" i="13"/>
  <c r="G41" i="13" l="1"/>
  <c r="C41" i="13"/>
  <c r="A42" i="13"/>
  <c r="B41" i="13"/>
  <c r="G42" i="13" l="1"/>
  <c r="B42" i="13"/>
  <c r="A43" i="13"/>
  <c r="C42" i="13"/>
  <c r="G43" i="13" l="1"/>
  <c r="B43" i="13"/>
  <c r="A44" i="13"/>
  <c r="C43" i="13"/>
  <c r="C44" i="13" l="1"/>
  <c r="A45" i="13"/>
  <c r="G44" i="13"/>
  <c r="B44" i="13"/>
  <c r="G45" i="13" l="1"/>
  <c r="C45" i="13"/>
  <c r="B45" i="13"/>
  <c r="A46" i="13"/>
  <c r="B46" i="13" l="1"/>
  <c r="A47" i="13"/>
  <c r="C46" i="13"/>
  <c r="G46" i="13"/>
  <c r="G47" i="13" l="1"/>
  <c r="B47" i="13"/>
  <c r="A48" i="13"/>
  <c r="C47" i="13"/>
  <c r="G48" i="13" l="1"/>
  <c r="C48" i="13"/>
  <c r="B48" i="13"/>
  <c r="A49" i="13"/>
  <c r="G49" i="13" l="1"/>
  <c r="B49" i="13"/>
  <c r="A50" i="13"/>
  <c r="C49" i="13"/>
  <c r="C50" i="13" l="1"/>
  <c r="B50" i="13"/>
  <c r="A51" i="13"/>
  <c r="G50" i="13"/>
  <c r="B51" i="13" l="1"/>
  <c r="A52" i="13"/>
  <c r="G51" i="13"/>
  <c r="C51" i="13"/>
  <c r="C52" i="13" l="1"/>
  <c r="G52" i="13"/>
  <c r="B52" i="13"/>
  <c r="A53" i="13"/>
  <c r="G53" i="13" l="1"/>
  <c r="C53" i="13"/>
  <c r="B53" i="13"/>
  <c r="A54" i="13"/>
  <c r="G54" i="13" l="1"/>
  <c r="B54" i="13"/>
  <c r="A55" i="13"/>
  <c r="C54" i="13"/>
  <c r="G55" i="13" l="1"/>
  <c r="C55" i="13"/>
  <c r="A56" i="13"/>
  <c r="B55" i="13"/>
  <c r="G56" i="13" l="1"/>
  <c r="C56" i="13"/>
  <c r="B56" i="13"/>
  <c r="A57" i="13"/>
  <c r="G57" i="13" l="1"/>
  <c r="C57" i="13"/>
  <c r="B57" i="13"/>
  <c r="A58" i="13"/>
  <c r="G58" i="13" l="1"/>
  <c r="A59" i="13"/>
  <c r="C58" i="13"/>
  <c r="B58" i="13"/>
  <c r="G59" i="13" l="1"/>
  <c r="C59" i="13"/>
  <c r="A60" i="13"/>
  <c r="B59" i="13"/>
  <c r="A61" i="13" l="1"/>
  <c r="C60" i="13"/>
  <c r="G60" i="13"/>
  <c r="B60" i="13"/>
  <c r="G61" i="13" l="1"/>
  <c r="B61" i="13"/>
  <c r="A62" i="13"/>
  <c r="C61" i="13"/>
  <c r="B62" i="13" l="1"/>
  <c r="A63" i="13"/>
  <c r="C62" i="13"/>
  <c r="G62" i="13"/>
  <c r="B63" i="13" l="1"/>
  <c r="A64" i="13"/>
  <c r="G63" i="13"/>
  <c r="C63" i="13"/>
  <c r="C64" i="13" l="1"/>
  <c r="G64" i="13"/>
  <c r="B64" i="13"/>
  <c r="A65" i="13"/>
  <c r="B65" i="13" l="1"/>
  <c r="A66" i="13"/>
  <c r="G65" i="13"/>
  <c r="C65" i="13"/>
  <c r="C66" i="13" l="1"/>
  <c r="G66" i="13"/>
  <c r="B66" i="13"/>
  <c r="A67" i="13"/>
  <c r="G67" i="13" l="1"/>
  <c r="C67" i="13"/>
  <c r="A68" i="13"/>
  <c r="B67" i="13"/>
  <c r="G68" i="13" l="1"/>
  <c r="C68" i="13"/>
  <c r="B68" i="13"/>
  <c r="A69" i="13"/>
  <c r="C69" i="13" l="1"/>
  <c r="B69" i="13"/>
  <c r="A70" i="13"/>
  <c r="G69" i="13"/>
  <c r="B70" i="13" l="1"/>
  <c r="A71" i="13"/>
  <c r="C70" i="13"/>
  <c r="G70" i="13"/>
  <c r="G71" i="13" l="1"/>
  <c r="C71" i="13"/>
  <c r="B71" i="13"/>
  <c r="A72" i="13"/>
  <c r="G72" i="13" l="1"/>
  <c r="C72" i="13"/>
  <c r="B72" i="13"/>
  <c r="A73" i="13"/>
  <c r="G73" i="13" l="1"/>
  <c r="C73" i="13"/>
  <c r="B73" i="13"/>
  <c r="A74" i="13"/>
  <c r="G74" i="13" l="1"/>
  <c r="A75" i="13"/>
  <c r="C74" i="13"/>
  <c r="B74" i="13"/>
  <c r="G75" i="13" l="1"/>
  <c r="C75" i="13"/>
  <c r="B75" i="13"/>
  <c r="A76" i="13"/>
  <c r="A77" i="13" l="1"/>
  <c r="G76" i="13"/>
  <c r="B76" i="13"/>
  <c r="C76" i="13"/>
  <c r="B77" i="13" l="1"/>
  <c r="A78" i="13"/>
  <c r="G77" i="13"/>
  <c r="C77" i="13"/>
  <c r="G78" i="13" l="1"/>
  <c r="A79" i="13"/>
  <c r="C78" i="13"/>
  <c r="B78" i="13"/>
  <c r="G79" i="13" l="1"/>
  <c r="C79" i="13"/>
  <c r="A80" i="13"/>
  <c r="B79" i="13"/>
  <c r="A81" i="13" l="1"/>
  <c r="G80" i="13"/>
  <c r="C80" i="13"/>
  <c r="B80" i="13"/>
  <c r="G81" i="13" l="1"/>
  <c r="C81" i="13"/>
  <c r="B81" i="13"/>
  <c r="A82" i="13"/>
  <c r="G82" i="13" l="1"/>
  <c r="C82" i="13"/>
  <c r="B82" i="13"/>
  <c r="A83" i="13"/>
  <c r="G83" i="13" l="1"/>
  <c r="C83" i="13"/>
  <c r="A84" i="13"/>
  <c r="B83" i="13"/>
  <c r="A85" i="13" l="1"/>
  <c r="G84" i="13"/>
  <c r="C84" i="13"/>
  <c r="B84" i="13"/>
  <c r="C85" i="13" l="1"/>
  <c r="G85" i="13"/>
  <c r="B85" i="13"/>
  <c r="A86" i="13"/>
  <c r="G86" i="13" l="1"/>
  <c r="B86" i="13"/>
  <c r="A87" i="13"/>
  <c r="C86" i="13"/>
  <c r="C87" i="13" l="1"/>
  <c r="A88" i="13"/>
  <c r="G87" i="13"/>
  <c r="B87" i="13"/>
  <c r="A89" i="13" l="1"/>
  <c r="G88" i="13"/>
  <c r="C88" i="13"/>
  <c r="B88" i="13"/>
  <c r="G89" i="13" l="1"/>
  <c r="C89" i="13"/>
  <c r="A90" i="13"/>
  <c r="B89" i="13"/>
  <c r="G90" i="13" l="1"/>
  <c r="B90" i="13"/>
  <c r="A91" i="13"/>
  <c r="C90" i="13"/>
  <c r="G91" i="13" l="1"/>
  <c r="C91" i="13"/>
  <c r="B91" i="13"/>
  <c r="A92" i="13"/>
  <c r="A93" i="13" l="1"/>
  <c r="G92" i="13"/>
  <c r="C92" i="13"/>
  <c r="B92" i="13"/>
  <c r="G93" i="13" l="1"/>
  <c r="C93" i="13"/>
  <c r="A94" i="13"/>
  <c r="B93" i="13"/>
  <c r="B94" i="13" l="1"/>
  <c r="A95" i="13"/>
  <c r="C94" i="13"/>
  <c r="G94" i="13"/>
  <c r="G95" i="13" l="1"/>
  <c r="C95" i="13"/>
  <c r="B95" i="13"/>
  <c r="A96" i="13"/>
  <c r="A97" i="13" l="1"/>
  <c r="G96" i="13"/>
  <c r="C96" i="13"/>
  <c r="B96" i="13"/>
  <c r="G97" i="13" l="1"/>
  <c r="B97" i="13"/>
  <c r="C97" i="13"/>
  <c r="A98" i="13"/>
  <c r="B98" i="13" l="1"/>
  <c r="A99" i="13"/>
  <c r="G98" i="13"/>
  <c r="C98" i="13"/>
  <c r="G99" i="13" l="1"/>
  <c r="C99" i="13"/>
  <c r="A100" i="13"/>
  <c r="B99" i="13"/>
  <c r="G100" i="13" l="1"/>
  <c r="C100" i="13"/>
  <c r="B100" i="13"/>
  <c r="A101" i="13"/>
  <c r="G101" i="13" l="1"/>
  <c r="C101" i="13"/>
  <c r="B101" i="13"/>
  <c r="A102" i="13"/>
  <c r="G102" i="13" l="1"/>
  <c r="B102" i="13"/>
  <c r="A103" i="13"/>
  <c r="C102" i="13"/>
  <c r="G103" i="13" l="1"/>
  <c r="C103" i="13"/>
  <c r="A104" i="13"/>
  <c r="B103" i="13"/>
  <c r="G104" i="13" l="1"/>
  <c r="C104" i="13"/>
  <c r="B104" i="13"/>
  <c r="A105" i="13"/>
  <c r="G105" i="13" l="1"/>
  <c r="C105" i="13"/>
  <c r="B105" i="13"/>
  <c r="A106" i="13"/>
  <c r="A107" i="13" l="1"/>
  <c r="C106" i="13"/>
  <c r="B106" i="13"/>
  <c r="G106" i="13"/>
  <c r="G107" i="13" l="1"/>
  <c r="C107" i="13"/>
  <c r="A108" i="13"/>
  <c r="B107" i="13"/>
  <c r="G108" i="13" l="1"/>
  <c r="C108" i="13"/>
  <c r="B108" i="13"/>
  <c r="A109" i="13"/>
  <c r="G109" i="13" l="1"/>
  <c r="C109" i="13"/>
  <c r="B109" i="13"/>
  <c r="A110" i="13"/>
  <c r="G110" i="13" l="1"/>
  <c r="B110" i="13"/>
  <c r="A111" i="13"/>
  <c r="C110" i="13"/>
  <c r="G111" i="13" l="1"/>
  <c r="C111" i="13"/>
  <c r="B111" i="13"/>
  <c r="A112" i="13"/>
  <c r="G112" i="13" l="1"/>
  <c r="B112" i="13"/>
  <c r="A113" i="13"/>
  <c r="C112" i="13"/>
  <c r="G113" i="13" l="1"/>
  <c r="B113" i="13"/>
  <c r="C113" i="13"/>
  <c r="A114" i="13"/>
  <c r="G114" i="13" l="1"/>
  <c r="B114" i="13"/>
  <c r="A115" i="13"/>
  <c r="C114" i="13"/>
  <c r="G115" i="13" l="1"/>
  <c r="C115" i="13"/>
  <c r="B115" i="13"/>
  <c r="A116" i="13"/>
  <c r="A117" i="13" l="1"/>
  <c r="G116" i="13"/>
  <c r="C116" i="13"/>
  <c r="B116" i="13"/>
  <c r="C117" i="13" l="1"/>
  <c r="G117" i="13"/>
  <c r="B117" i="13"/>
  <c r="A118" i="13"/>
  <c r="B118" i="13" l="1"/>
  <c r="A119" i="13"/>
  <c r="C118" i="13"/>
  <c r="G118" i="13"/>
  <c r="B119" i="13" l="1"/>
  <c r="A120" i="13"/>
  <c r="G119" i="13"/>
  <c r="C119" i="13"/>
  <c r="G120" i="13" l="1"/>
  <c r="C120" i="13"/>
  <c r="B120" i="13"/>
  <c r="A121" i="13"/>
  <c r="C121" i="13" l="1"/>
  <c r="B121" i="13"/>
  <c r="G121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47082A-B40E-430B-8761-00C49DA1A851}" keepAlive="1" name="Consulta - CartaoCredito" description="Conexão com a consulta 'CartaoCredito' na pasta de trabalho." type="5" refreshedVersion="8" background="1" saveData="1">
    <dbPr connection="Provider=Microsoft.Mashup.OleDb.1;Data Source=$Workbook$;Location=CartaoCredito;Extended Properties=&quot;&quot;" command="SELECT * FROM [CartaoCredito]"/>
  </connection>
  <connection id="2" xr16:uid="{36B96182-076F-4359-9C9B-6CE54DE58C95}" keepAlive="1" name="Consulta - ContaCorrente" description="Conexão com a consulta 'ContaCorrente' na pasta de trabalho." type="5" refreshedVersion="8" background="1" saveData="1">
    <dbPr connection="Provider=Microsoft.Mashup.OleDb.1;Data Source=$Workbook$;Location=ContaCorrente;Extended Properties=&quot;&quot;" command="SELECT * FROM [ContaCorrente]"/>
  </connection>
  <connection id="3" xr16:uid="{FA93EDBB-2F98-4291-80FD-4917B59973DC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9F65552D-B8F9-441B-9077-2E07F5743EAF}" name="WorksheetConnection_Mostruário.xlsm!tbMetas" type="102" refreshedVersion="8" minRefreshableVersion="5">
    <extLst>
      <ext xmlns:x15="http://schemas.microsoft.com/office/spreadsheetml/2010/11/main" uri="{DE250136-89BD-433C-8126-D09CA5730AF9}">
        <x15:connection id="tbMetas">
          <x15:rangePr sourceName="_xlcn.WorksheetConnection_Mostruário.xlsmtbMetas"/>
        </x15:connection>
      </ext>
    </extLst>
  </connection>
  <connection id="5" xr16:uid="{1176D5FC-E6D5-42AC-AE70-E3F32332338B}" name="WorksheetConnection_Mostruário.xlsx!ContaCorrente_" type="102" refreshedVersion="8" minRefreshableVersion="5">
    <extLst>
      <ext xmlns:x15="http://schemas.microsoft.com/office/spreadsheetml/2010/11/main" uri="{DE250136-89BD-433C-8126-D09CA5730AF9}">
        <x15:connection id="ContaCorrente_">
          <x15:rangePr sourceName="_xlcn.WorksheetConnection_Mostruário.xlsxContaCorrente_"/>
        </x15:connection>
      </ext>
    </extLst>
  </connection>
  <connection id="6" xr16:uid="{08ACF19A-F19E-4C97-B184-8EA6694ADD67}" name="WorksheetConnection_Mostruário.xlsx!dCalendario" type="102" refreshedVersion="8" minRefreshableVersion="5">
    <extLst>
      <ext xmlns:x15="http://schemas.microsoft.com/office/spreadsheetml/2010/11/main" uri="{DE250136-89BD-433C-8126-D09CA5730AF9}">
        <x15:connection id="dCalendario">
          <x15:rangePr sourceName="_xlcn.WorksheetConnection_Mostruário.xlsxdCalendario"/>
        </x15:connection>
      </ext>
    </extLst>
  </connection>
</connections>
</file>

<file path=xl/sharedStrings.xml><?xml version="1.0" encoding="utf-8"?>
<sst xmlns="http://schemas.openxmlformats.org/spreadsheetml/2006/main" count="813" uniqueCount="156">
  <si>
    <t>Conta Corrente</t>
  </si>
  <si>
    <t>Data</t>
  </si>
  <si>
    <t>Destinatário</t>
  </si>
  <si>
    <t>Valor</t>
  </si>
  <si>
    <t>Supermercado Pão de Açúcar</t>
  </si>
  <si>
    <t>Salário - Empresa ABC</t>
  </si>
  <si>
    <t>Conta de Luz - ENEL</t>
  </si>
  <si>
    <t>Posto de Gasolina Shell</t>
  </si>
  <si>
    <t>Netflix</t>
  </si>
  <si>
    <t>Transferência PIX - João Silva</t>
  </si>
  <si>
    <t>Supermercado Extra</t>
  </si>
  <si>
    <t>Conta de Internet - Vivo</t>
  </si>
  <si>
    <t>Conta de Água - SABESP</t>
  </si>
  <si>
    <t>Farmácia Drogasil</t>
  </si>
  <si>
    <t>Transferência PIX - Maria Santos</t>
  </si>
  <si>
    <t>Supermercado Carrefour</t>
  </si>
  <si>
    <t>Aluguel - Imobiliária Central</t>
  </si>
  <si>
    <t>CONTROLE FINANCEIRO</t>
  </si>
  <si>
    <t>Descrição</t>
  </si>
  <si>
    <t>Compra no débito</t>
  </si>
  <si>
    <t>Crédito em conta</t>
  </si>
  <si>
    <t>Pagamento de conta</t>
  </si>
  <si>
    <t>Assinatura recorrente</t>
  </si>
  <si>
    <t>Transferência enviada</t>
  </si>
  <si>
    <t>Restaurante Outback</t>
  </si>
  <si>
    <t>Uber</t>
  </si>
  <si>
    <t>Spotify</t>
  </si>
  <si>
    <t>Transferência PIX - Pedro Costa</t>
  </si>
  <si>
    <t>Transferência recebida</t>
  </si>
  <si>
    <t>iFood</t>
  </si>
  <si>
    <t>Mercado Livre</t>
  </si>
  <si>
    <t>Academia Smart Fit</t>
  </si>
  <si>
    <t>Saque ATM</t>
  </si>
  <si>
    <t>Saque</t>
  </si>
  <si>
    <t>Tipo</t>
  </si>
  <si>
    <t>Categoria</t>
  </si>
  <si>
    <t>Saldo</t>
  </si>
  <si>
    <t>Cartão de Crédito</t>
  </si>
  <si>
    <t>Estabelecimento</t>
  </si>
  <si>
    <t>Parcela</t>
  </si>
  <si>
    <t>Status</t>
  </si>
  <si>
    <t>Amazon Prime</t>
  </si>
  <si>
    <t>Assinatura</t>
  </si>
  <si>
    <t>Lazer/Assinaturas</t>
  </si>
  <si>
    <t>Pago</t>
  </si>
  <si>
    <t>Lojas Americanas</t>
  </si>
  <si>
    <t>Compra parcelada</t>
  </si>
  <si>
    <t>Compras</t>
  </si>
  <si>
    <t>Restaurante Madero</t>
  </si>
  <si>
    <t>Compra à vista</t>
  </si>
  <si>
    <t>Alimentação</t>
  </si>
  <si>
    <t>Magazine Luiza</t>
  </si>
  <si>
    <t>Eletrônicos</t>
  </si>
  <si>
    <t>Drogaria São Paulo</t>
  </si>
  <si>
    <t>Saúde</t>
  </si>
  <si>
    <t>Posto Ipiranga</t>
  </si>
  <si>
    <t>Transporte</t>
  </si>
  <si>
    <t>Booking.com</t>
  </si>
  <si>
    <t>Viagem</t>
  </si>
  <si>
    <t>Zara</t>
  </si>
  <si>
    <t>Vestuário</t>
  </si>
  <si>
    <t>Aberto</t>
  </si>
  <si>
    <t>Uber Eats</t>
  </si>
  <si>
    <t>Renner</t>
  </si>
  <si>
    <t>Cinemark</t>
  </si>
  <si>
    <t>Total Parcelas</t>
  </si>
  <si>
    <t>Mês</t>
  </si>
  <si>
    <t>Moradia</t>
  </si>
  <si>
    <t>Transferências</t>
  </si>
  <si>
    <t>Compras Online</t>
  </si>
  <si>
    <t>Rótulos de Linha</t>
  </si>
  <si>
    <t>Total Geral</t>
  </si>
  <si>
    <t>Entrada</t>
  </si>
  <si>
    <t>Saída</t>
  </si>
  <si>
    <t>Receitas</t>
  </si>
  <si>
    <t>Mês/Ano</t>
  </si>
  <si>
    <t>Ano</t>
  </si>
  <si>
    <t>Venc. Fatura</t>
  </si>
  <si>
    <t>1/3</t>
  </si>
  <si>
    <t>FEV</t>
  </si>
  <si>
    <t>1/10</t>
  </si>
  <si>
    <t>1/1</t>
  </si>
  <si>
    <t>MAR</t>
  </si>
  <si>
    <t>1/4</t>
  </si>
  <si>
    <t>1/2</t>
  </si>
  <si>
    <t>2/3</t>
  </si>
  <si>
    <t>ABR</t>
  </si>
  <si>
    <t>2/10</t>
  </si>
  <si>
    <t>2/4</t>
  </si>
  <si>
    <t>2/2</t>
  </si>
  <si>
    <t>Origem</t>
  </si>
  <si>
    <t>Mês Seguinte</t>
  </si>
  <si>
    <t>MesNum</t>
  </si>
  <si>
    <t>Mês Abrev</t>
  </si>
  <si>
    <t>AnoMes</t>
  </si>
  <si>
    <t>Trimestre</t>
  </si>
  <si>
    <t>Saldo Atual</t>
  </si>
  <si>
    <t>Total Entradas</t>
  </si>
  <si>
    <t>Total Saidas</t>
  </si>
  <si>
    <t>Percent Parcelado</t>
  </si>
  <si>
    <t>Saldo atual</t>
  </si>
  <si>
    <t>Total Saídas</t>
  </si>
  <si>
    <t>Pagamento da Fatura do Cartão</t>
  </si>
  <si>
    <t>Cartão</t>
  </si>
  <si>
    <t>JUN</t>
  </si>
  <si>
    <t>% de economia</t>
  </si>
  <si>
    <t>Total Gasto Cartao Credito</t>
  </si>
  <si>
    <t>Total Movimentado</t>
  </si>
  <si>
    <t>Variacao Gastos Mensal ABS</t>
  </si>
  <si>
    <t>Total a pagar</t>
  </si>
  <si>
    <t>Saldo Real</t>
  </si>
  <si>
    <t>A Pagar Texto</t>
  </si>
  <si>
    <t>Categoria Maior gasto</t>
  </si>
  <si>
    <t>Categoria Top 1 Gasto Formatada</t>
  </si>
  <si>
    <t>Valor Demais Categorias</t>
  </si>
  <si>
    <t>Valor Top 1</t>
  </si>
  <si>
    <t>Mês/Ano segmentação</t>
  </si>
  <si>
    <t>Abril/2026</t>
  </si>
  <si>
    <t>Fevereiro/2026</t>
  </si>
  <si>
    <t>Janeiro/2026</t>
  </si>
  <si>
    <t>Março/2026</t>
  </si>
  <si>
    <t>Variacao Economia</t>
  </si>
  <si>
    <t>% Economia</t>
  </si>
  <si>
    <t>Variação Economia MoM</t>
  </si>
  <si>
    <t>Total Saidas Mes Anterior em %</t>
  </si>
  <si>
    <t>Total Saídas Mês Anterior %</t>
  </si>
  <si>
    <t>Variação gastos mensal</t>
  </si>
  <si>
    <t>Balanço Mensal</t>
  </si>
  <si>
    <t>Total Entradas Mês Anterior</t>
  </si>
  <si>
    <t>Total Entradas Mes Anterior em %</t>
  </si>
  <si>
    <t>Variação Receita Mensal</t>
  </si>
  <si>
    <t>Balanco Mensal Mes Anterior %</t>
  </si>
  <si>
    <t>Indicador</t>
  </si>
  <si>
    <t>Meta</t>
  </si>
  <si>
    <t>EconomiaPct</t>
  </si>
  <si>
    <t>BalancoMensal</t>
  </si>
  <si>
    <t>Meta Saidas</t>
  </si>
  <si>
    <t>Meta Entradas</t>
  </si>
  <si>
    <t>Meta Economia</t>
  </si>
  <si>
    <t>Meta Balanco</t>
  </si>
  <si>
    <t>Quantidade Meses Selecionados</t>
  </si>
  <si>
    <t>Qtd Meses Selecionados</t>
  </si>
  <si>
    <t>Nome Da Categoria Com Maior Gasto</t>
  </si>
  <si>
    <t>Maior Valor Gasto Por Categoria</t>
  </si>
  <si>
    <t>Nome categoria Top 1</t>
  </si>
  <si>
    <t>Valor categoria Top 1</t>
  </si>
  <si>
    <t>% de Gasto Top 1 Categoria</t>
  </si>
  <si>
    <t>Acumulado</t>
  </si>
  <si>
    <t>ModoDashboard</t>
  </si>
  <si>
    <t>Menor Data Selecionada</t>
  </si>
  <si>
    <t>Maior Data Selecionada</t>
  </si>
  <si>
    <t>Meno Data Selecionada</t>
  </si>
  <si>
    <t>abril/2026</t>
  </si>
  <si>
    <t>R$ 763,03</t>
  </si>
  <si>
    <t>fevereiro/2026</t>
  </si>
  <si>
    <t>Cartão (R$ 1.891,84)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</si>
</sst>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\R&quot;R$&quot;\ #,##0.00"/>
    <numFmt numFmtId="165" formatCode="\R&quot;R$&quot;\ #.##000;\-\R&quot;R$&quot;\ #.##000"/>
    <numFmt numFmtId="166" formatCode="\R&quot;R$&quot;\ #.##000"/>
    <numFmt numFmtId="167" formatCode="0.00%;\-0.00%;0.00%"/>
    <numFmt numFmtId="168" formatCode="0.0%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2"/>
      <color rgb="FFFFFFFF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1"/>
      <color rgb="FF1F4E79"/>
      <name val="Aptos Narrow"/>
      <family val="2"/>
      <scheme val="minor"/>
    </font>
    <font>
      <sz val="8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D6E3F8"/>
        <bgColor indexed="64"/>
      </patternFill>
    </fill>
    <fill>
      <patternFill patternType="solid">
        <fgColor rgb="FFFFD966"/>
        <bgColor indexed="64"/>
      </patternFill>
    </fill>
  </fills>
  <borders count="16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/>
      <diagonal/>
    </border>
    <border>
      <left style="thin">
        <color rgb="FFB4C6E7"/>
      </left>
      <right style="thin">
        <color rgb="FFB4C6E7"/>
      </right>
      <top style="thin">
        <color rgb="FFB4C6E7"/>
      </top>
      <bottom/>
      <diagonal/>
    </border>
    <border>
      <left style="thin">
        <color rgb="FFB4C6E7"/>
      </left>
      <right/>
      <top style="thin">
        <color rgb="FFB4C6E7"/>
      </top>
      <bottom/>
      <diagonal/>
    </border>
    <border>
      <left/>
      <right style="thin">
        <color rgb="FFB4C6E7"/>
      </right>
      <top/>
      <bottom style="medium">
        <color rgb="FF1F4E79"/>
      </bottom>
      <diagonal/>
    </border>
    <border>
      <left style="thin">
        <color rgb="FFB4C6E7"/>
      </left>
      <right style="thin">
        <color rgb="FFB4C6E7"/>
      </right>
      <top/>
      <bottom style="medium">
        <color rgb="FF1F4E79"/>
      </bottom>
      <diagonal/>
    </border>
    <border>
      <left style="thin">
        <color rgb="FFB4C6E7"/>
      </left>
      <right/>
      <top/>
      <bottom style="medium">
        <color rgb="FF1F4E79"/>
      </bottom>
      <diagonal/>
    </border>
    <border>
      <left/>
      <right style="thin">
        <color rgb="FFB4C6E7"/>
      </right>
      <top style="thin">
        <color rgb="FFB4C6E7"/>
      </top>
      <bottom style="thick">
        <color rgb="FF1F4E79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ck">
        <color rgb="FF1F4E79"/>
      </bottom>
      <diagonal/>
    </border>
    <border>
      <left style="thin">
        <color rgb="FFB4C6E7"/>
      </left>
      <right/>
      <top style="thin">
        <color rgb="FFB4C6E7"/>
      </top>
      <bottom style="thick">
        <color rgb="FF1F4E79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9">
    <xf numFmtId="0" fontId="0" fillId="0" borderId="0" xfId="0"/>
    <xf numFmtId="0" fontId="2" fillId="0" borderId="0" xfId="0" applyFont="1"/>
    <xf numFmtId="14" fontId="0" fillId="0" borderId="0" xfId="0" applyNumberFormat="1"/>
    <xf numFmtId="44" fontId="0" fillId="0" borderId="0" xfId="1" applyFont="1"/>
    <xf numFmtId="164" fontId="0" fillId="0" borderId="0" xfId="0" applyNumberFormat="1"/>
    <xf numFmtId="0" fontId="0" fillId="6" borderId="5" xfId="0" applyFill="1" applyBorder="1"/>
    <xf numFmtId="164" fontId="0" fillId="6" borderId="5" xfId="0" applyNumberFormat="1" applyFill="1" applyBorder="1"/>
    <xf numFmtId="0" fontId="0" fillId="4" borderId="5" xfId="0" applyFill="1" applyBorder="1"/>
    <xf numFmtId="164" fontId="0" fillId="4" borderId="5" xfId="0" applyNumberFormat="1" applyFill="1" applyBorder="1"/>
    <xf numFmtId="0" fontId="0" fillId="6" borderId="8" xfId="0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3" fillId="5" borderId="10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14" fontId="0" fillId="4" borderId="4" xfId="0" applyNumberFormat="1" applyFill="1" applyBorder="1" applyAlignment="1">
      <alignment horizontal="center"/>
    </xf>
    <xf numFmtId="14" fontId="0" fillId="6" borderId="4" xfId="0" applyNumberFormat="1" applyFill="1" applyBorder="1" applyAlignment="1">
      <alignment horizontal="center"/>
    </xf>
    <xf numFmtId="14" fontId="0" fillId="6" borderId="7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14" fontId="0" fillId="4" borderId="7" xfId="0" applyNumberFormat="1" applyFill="1" applyBorder="1" applyAlignment="1">
      <alignment horizontal="center"/>
    </xf>
    <xf numFmtId="0" fontId="0" fillId="4" borderId="8" xfId="0" applyFill="1" applyBorder="1"/>
    <xf numFmtId="164" fontId="0" fillId="4" borderId="8" xfId="0" applyNumberFormat="1" applyFill="1" applyBorder="1"/>
    <xf numFmtId="0" fontId="0" fillId="4" borderId="8" xfId="0" applyFill="1" applyBorder="1" applyAlignment="1">
      <alignment horizontal="center"/>
    </xf>
    <xf numFmtId="14" fontId="0" fillId="6" borderId="13" xfId="0" applyNumberFormat="1" applyFill="1" applyBorder="1" applyAlignment="1">
      <alignment horizontal="center"/>
    </xf>
    <xf numFmtId="0" fontId="0" fillId="6" borderId="14" xfId="0" applyFill="1" applyBorder="1"/>
    <xf numFmtId="164" fontId="0" fillId="6" borderId="14" xfId="0" applyNumberFormat="1" applyFill="1" applyBorder="1"/>
    <xf numFmtId="0" fontId="0" fillId="6" borderId="14" xfId="0" applyFill="1" applyBorder="1" applyAlignment="1">
      <alignment horizontal="center"/>
    </xf>
    <xf numFmtId="16" fontId="0" fillId="6" borderId="5" xfId="0" applyNumberFormat="1" applyFill="1" applyBorder="1" applyAlignment="1">
      <alignment horizontal="center"/>
    </xf>
    <xf numFmtId="16" fontId="0" fillId="4" borderId="5" xfId="0" applyNumberForma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0" fontId="0" fillId="4" borderId="2" xfId="0" applyFill="1" applyBorder="1"/>
    <xf numFmtId="16" fontId="0" fillId="4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6" fontId="0" fillId="6" borderId="8" xfId="0" applyNumberForma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6" fontId="0" fillId="0" borderId="0" xfId="0" applyNumberFormat="1"/>
    <xf numFmtId="1" fontId="0" fillId="4" borderId="2" xfId="0" applyNumberFormat="1" applyFill="1" applyBorder="1" applyAlignment="1">
      <alignment horizontal="center"/>
    </xf>
    <xf numFmtId="1" fontId="0" fillId="6" borderId="5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65" fontId="0" fillId="0" borderId="0" xfId="0" applyNumberFormat="1"/>
    <xf numFmtId="1" fontId="0" fillId="6" borderId="8" xfId="0" applyNumberForma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pivotButton="1"/>
    <xf numFmtId="0" fontId="6" fillId="0" borderId="0" xfId="0" applyFont="1"/>
    <xf numFmtId="44" fontId="2" fillId="0" borderId="0" xfId="1" applyFont="1"/>
    <xf numFmtId="44" fontId="0" fillId="6" borderId="2" xfId="1" applyFont="1" applyFill="1" applyBorder="1" applyAlignment="1">
      <alignment horizontal="right"/>
    </xf>
    <xf numFmtId="44" fontId="0" fillId="4" borderId="5" xfId="1" applyFont="1" applyFill="1" applyBorder="1" applyAlignment="1">
      <alignment horizontal="right"/>
    </xf>
    <xf numFmtId="44" fontId="0" fillId="6" borderId="5" xfId="1" applyFont="1" applyFill="1" applyBorder="1" applyAlignment="1">
      <alignment horizontal="right"/>
    </xf>
    <xf numFmtId="44" fontId="0" fillId="4" borderId="8" xfId="1" applyFont="1" applyFill="1" applyBorder="1" applyAlignment="1">
      <alignment horizontal="right"/>
    </xf>
    <xf numFmtId="44" fontId="0" fillId="6" borderId="14" xfId="1" applyFont="1" applyFill="1" applyBorder="1" applyAlignment="1">
      <alignment horizontal="right"/>
    </xf>
    <xf numFmtId="44" fontId="0" fillId="6" borderId="3" xfId="1" applyFont="1" applyFill="1" applyBorder="1" applyAlignment="1">
      <alignment horizontal="right"/>
    </xf>
    <xf numFmtId="44" fontId="0" fillId="4" borderId="6" xfId="1" applyFont="1" applyFill="1" applyBorder="1" applyAlignment="1">
      <alignment horizontal="right"/>
    </xf>
    <xf numFmtId="44" fontId="0" fillId="6" borderId="6" xfId="1" applyFont="1" applyFill="1" applyBorder="1" applyAlignment="1">
      <alignment horizontal="right"/>
    </xf>
    <xf numFmtId="44" fontId="0" fillId="4" borderId="9" xfId="1" applyFont="1" applyFill="1" applyBorder="1" applyAlignment="1">
      <alignment horizontal="right"/>
    </xf>
    <xf numFmtId="44" fontId="0" fillId="6" borderId="15" xfId="1" applyFont="1" applyFill="1" applyBorder="1" applyAlignment="1">
      <alignment horizontal="right"/>
    </xf>
    <xf numFmtId="44" fontId="0" fillId="4" borderId="2" xfId="1" applyFont="1" applyFill="1" applyBorder="1" applyAlignment="1">
      <alignment horizontal="right"/>
    </xf>
    <xf numFmtId="44" fontId="0" fillId="6" borderId="8" xfId="1" applyFont="1" applyFill="1" applyBorder="1" applyAlignment="1">
      <alignment horizontal="right"/>
    </xf>
    <xf numFmtId="0" fontId="5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0" fillId="7" borderId="0" xfId="0" applyFill="1"/>
    <xf numFmtId="22" fontId="0" fillId="0" borderId="0" xfId="0" applyNumberFormat="1"/>
    <xf numFmtId="167" fontId="0" fillId="0" borderId="0" xfId="0" applyNumberFormat="1"/>
    <xf numFmtId="44" fontId="8" fillId="0" borderId="0" xfId="1" applyFont="1"/>
    <xf numFmtId="16" fontId="0" fillId="0" borderId="0" xfId="0" applyNumberFormat="1"/>
    <xf numFmtId="10" fontId="8" fillId="0" borderId="0" xfId="2" applyNumberFormat="1" applyFont="1"/>
    <xf numFmtId="0" fontId="9" fillId="0" borderId="0" xfId="0" applyFont="1"/>
    <xf numFmtId="10" fontId="0" fillId="0" borderId="0" xfId="2" applyNumberFormat="1" applyFont="1"/>
    <xf numFmtId="7" fontId="0" fillId="0" borderId="0" xfId="0" applyNumberFormat="1"/>
    <xf numFmtId="9" fontId="0" fillId="0" borderId="0" xfId="0" applyNumberFormat="1"/>
    <xf numFmtId="168" fontId="0" fillId="0" borderId="0" xfId="2" applyNumberFormat="1" applyFont="1"/>
  </cellXfs>
  <cellStyles count="3">
    <cellStyle name="Moeda" xfId="1" builtinId="4"/>
    <cellStyle name="Normal" xfId="0" builtinId="0"/>
    <cellStyle name="Porcentagem" xfId="2" builtinId="5"/>
  </cellStyles>
  <dxfs count="50">
    <dxf>
      <numFmt numFmtId="0" formatCode="General"/>
      <fill>
        <patternFill patternType="solid">
          <fgColor indexed="64"/>
          <bgColor rgb="FFD6E3F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</dxf>
    <dxf>
      <numFmt numFmtId="0" formatCode="General"/>
      <fill>
        <patternFill patternType="solid">
          <fgColor indexed="64"/>
          <bgColor rgb="FFD6E3F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</dxf>
    <dxf>
      <numFmt numFmtId="19" formatCode="dd/mm/yyyy"/>
      <fill>
        <patternFill patternType="solid">
          <fgColor indexed="64"/>
          <bgColor rgb="FFD6E3F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</dxf>
    <dxf>
      <fill>
        <patternFill patternType="solid">
          <fgColor indexed="64"/>
          <bgColor rgb="FFD6E3F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</dxf>
    <dxf>
      <fill>
        <patternFill patternType="solid">
          <fgColor indexed="64"/>
          <bgColor rgb="FFD6E3F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</dxf>
    <dxf>
      <fill>
        <patternFill patternType="solid">
          <fgColor indexed="64"/>
          <bgColor rgb="FFD6E3F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</dxf>
    <dxf>
      <numFmt numFmtId="1" formatCode="0"/>
      <fill>
        <patternFill patternType="solid">
          <fgColor indexed="64"/>
          <bgColor rgb="FFD6E3F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</dxf>
    <dxf>
      <numFmt numFmtId="1" formatCode="0"/>
      <fill>
        <patternFill patternType="solid">
          <fgColor indexed="64"/>
          <bgColor rgb="FFD6E3F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</dxf>
    <dxf>
      <fill>
        <patternFill patternType="solid">
          <fgColor indexed="64"/>
          <bgColor rgb="FFD6E3F8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</dxf>
    <dxf>
      <fill>
        <patternFill patternType="solid">
          <fgColor indexed="64"/>
          <bgColor rgb="FFD6E3F8"/>
        </patternFill>
      </fill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</dxf>
    <dxf>
      <numFmt numFmtId="19" formatCode="dd/mm/yyyy"/>
      <fill>
        <patternFill patternType="solid">
          <fgColor indexed="64"/>
          <bgColor rgb="FFD6E3F8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</dxf>
    <dxf>
      <border outline="0">
        <left style="medium">
          <color rgb="FF305496"/>
        </left>
        <right style="medium">
          <color rgb="FF305496"/>
        </right>
        <top style="medium">
          <color rgb="FF305496"/>
        </top>
        <bottom style="thick">
          <color rgb="FF1F4E79"/>
        </bottom>
      </border>
    </dxf>
    <dxf>
      <border outline="0">
        <bottom style="medium">
          <color rgb="FF1F4E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30549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</dxf>
    <dxf>
      <numFmt numFmtId="0" formatCode="General"/>
      <fill>
        <patternFill patternType="solid">
          <fgColor indexed="64"/>
          <bgColor rgb="FFD6E3F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/>
        <bottom style="thin">
          <color rgb="FFB4C6E7"/>
        </bottom>
        <vertical/>
        <horizontal/>
      </border>
    </dxf>
    <dxf>
      <numFmt numFmtId="0" formatCode="General"/>
      <fill>
        <patternFill patternType="solid">
          <fgColor indexed="64"/>
          <bgColor rgb="FFD6E3F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/>
        <bottom style="thin">
          <color rgb="FFB4C6E7"/>
        </bottom>
        <vertical/>
        <horizontal/>
      </border>
    </dxf>
    <dxf>
      <numFmt numFmtId="0" formatCode="General"/>
      <fill>
        <patternFill patternType="solid">
          <fgColor indexed="64"/>
          <bgColor rgb="FFD6E3F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/>
        <bottom style="thin">
          <color rgb="FFB4C6E7"/>
        </bottom>
        <vertical/>
        <horizontal/>
      </border>
    </dxf>
    <dxf>
      <alignment horizontal="right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 style="thin">
          <color rgb="FFB4C6E7"/>
        </vertical>
        <horizontal style="thin">
          <color rgb="FFB4C6E7"/>
        </horizontal>
      </border>
    </dxf>
    <dxf>
      <alignment horizontal="center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 style="thin">
          <color rgb="FFB4C6E7"/>
        </vertical>
        <horizontal style="thin">
          <color rgb="FFB4C6E7"/>
        </horizontal>
      </border>
    </dxf>
    <dxf>
      <numFmt numFmtId="0" formatCode="General"/>
      <alignment horizontal="center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 style="thin">
          <color rgb="FFB4C6E7"/>
        </vertical>
        <horizontal style="thin">
          <color rgb="FFB4C6E7"/>
        </horizontal>
      </border>
    </dxf>
    <dxf>
      <numFmt numFmtId="164" formatCode="\R&quot;R$&quot;\ #,##0.0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 style="thin">
          <color rgb="FFB4C6E7"/>
        </vertical>
        <horizontal style="thin">
          <color rgb="FFB4C6E7"/>
        </horizontal>
      </border>
    </dxf>
    <dxf>
      <alignment horizontal="right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 style="thin">
          <color rgb="FFB4C6E7"/>
        </vertical>
        <horizontal style="thin">
          <color rgb="FFB4C6E7"/>
        </horizontal>
      </border>
    </dxf>
    <dxf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 style="thin">
          <color rgb="FFB4C6E7"/>
        </vertical>
        <horizontal style="thin">
          <color rgb="FFB4C6E7"/>
        </horizontal>
      </border>
    </dxf>
    <dxf>
      <numFmt numFmtId="19" formatCode="dd/mm/yyyy"/>
      <alignment horizontal="center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  <vertical style="thin">
          <color rgb="FFB4C6E7"/>
        </vertical>
        <horizontal style="thin">
          <color rgb="FFB4C6E7"/>
        </horizontal>
      </border>
    </dxf>
    <dxf>
      <border>
        <top style="thin">
          <color rgb="FFB4C6E7"/>
        </top>
      </border>
    </dxf>
    <dxf>
      <border diagonalUp="0" diagonalDown="0">
        <left style="medium">
          <color rgb="FF305496"/>
        </left>
        <right style="medium">
          <color rgb="FF305496"/>
        </right>
        <top style="medium">
          <color rgb="FF305496"/>
        </top>
        <bottom style="medium">
          <color rgb="FF305496"/>
        </bottom>
      </border>
    </dxf>
    <dxf>
      <border>
        <bottom style="medium">
          <color rgb="FF1F4E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305496"/>
        </patternFill>
      </fill>
      <alignment horizontal="center"/>
      <border diagonalUp="0" diagonalDown="0">
        <left style="thin">
          <color rgb="FFB4C6E7"/>
        </left>
        <right style="thin">
          <color rgb="FFB4C6E7"/>
        </right>
        <top/>
        <bottom/>
        <vertical style="thin">
          <color rgb="FFB4C6E7"/>
        </vertical>
        <horizontal style="thin">
          <color rgb="FFB4C6E7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27" formatCode="dd/mm/yyyy\ hh:mm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ont>
        <b val="0"/>
        <i val="0"/>
        <sz val="14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egmentação meses" pivot="0" table="0" count="3" xr9:uid="{32C694CD-5D04-4EC9-8E63-5A7BD62AF926}">
      <tableStyleElement type="wholeTable" dxfId="49"/>
    </tableStyle>
  </tableStyles>
  <colors>
    <mruColors>
      <color rgb="FFF2F2F2"/>
      <color rgb="FF4E95D9"/>
      <color rgb="FFD9D9D9"/>
      <color rgb="FFFFFFFF"/>
    </mruColors>
  </colors>
  <extLst>
    <ext xmlns:x14="http://schemas.microsoft.com/office/spreadsheetml/2009/9/main" uri="{46F421CA-312F-682f-3DD2-61675219B42D}">
      <x14:dxfs count="2">
        <dxf>
          <font>
            <b val="0"/>
            <i val="0"/>
            <sz val="11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u val="none"/>
            <sz val="16"/>
            <color theme="0"/>
          </font>
          <fill>
            <patternFill>
              <bgColor rgb="FF4E95D9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egmentação meses">
          <x14:slicerStyleElements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9.xml"/><Relationship Id="rId21" Type="http://schemas.openxmlformats.org/officeDocument/2006/relationships/pivotCacheDefinition" Target="pivotCache/pivotCacheDefinition14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63" Type="http://schemas.openxmlformats.org/officeDocument/2006/relationships/customXml" Target="../customXml/item27.xml"/><Relationship Id="rId68" Type="http://schemas.openxmlformats.org/officeDocument/2006/relationships/customXml" Target="../customXml/item32.xml"/><Relationship Id="rId84" Type="http://schemas.microsoft.com/office/2006/relationships/vbaProject" Target="vbaProject.bin"/><Relationship Id="rId16" Type="http://schemas.openxmlformats.org/officeDocument/2006/relationships/pivotCacheDefinition" Target="pivotCache/pivotCacheDefinition9.xml"/><Relationship Id="rId11" Type="http://schemas.openxmlformats.org/officeDocument/2006/relationships/pivotCacheDefinition" Target="pivotCache/pivotCacheDefinition4.xml"/><Relationship Id="rId32" Type="http://schemas.openxmlformats.org/officeDocument/2006/relationships/styles" Target="styles.xml"/><Relationship Id="rId37" Type="http://schemas.openxmlformats.org/officeDocument/2006/relationships/customXml" Target="../customXml/item1.xml"/><Relationship Id="rId53" Type="http://schemas.openxmlformats.org/officeDocument/2006/relationships/customXml" Target="../customXml/item17.xml"/><Relationship Id="rId58" Type="http://schemas.openxmlformats.org/officeDocument/2006/relationships/customXml" Target="../customXml/item22.xml"/><Relationship Id="rId74" Type="http://schemas.openxmlformats.org/officeDocument/2006/relationships/customXml" Target="../customXml/item38.xml"/><Relationship Id="rId79" Type="http://schemas.openxmlformats.org/officeDocument/2006/relationships/customXml" Target="../customXml/item43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5.xml"/><Relationship Id="rId82" Type="http://schemas.openxmlformats.org/officeDocument/2006/relationships/customXml" Target="../customXml/item46.xml"/><Relationship Id="rId19" Type="http://schemas.openxmlformats.org/officeDocument/2006/relationships/pivotCacheDefinition" Target="pivotCache/pivotCacheDefinition12.xml"/><Relationship Id="rId14" Type="http://schemas.openxmlformats.org/officeDocument/2006/relationships/pivotCacheDefinition" Target="pivotCache/pivotCacheDefinition7.xml"/><Relationship Id="rId22" Type="http://schemas.openxmlformats.org/officeDocument/2006/relationships/pivotCacheDefinition" Target="pivotCache/pivotCacheDefinition15.xml"/><Relationship Id="rId27" Type="http://schemas.openxmlformats.org/officeDocument/2006/relationships/pivotCacheDefinition" Target="pivotCache/pivotCacheDefinition20.xml"/><Relationship Id="rId30" Type="http://schemas.openxmlformats.org/officeDocument/2006/relationships/theme" Target="theme/theme1.xml"/><Relationship Id="rId35" Type="http://schemas.microsoft.com/office/2017/10/relationships/person" Target="persons/person.xml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64" Type="http://schemas.openxmlformats.org/officeDocument/2006/relationships/customXml" Target="../customXml/item28.xml"/><Relationship Id="rId69" Type="http://schemas.openxmlformats.org/officeDocument/2006/relationships/customXml" Target="../customXml/item33.xml"/><Relationship Id="rId77" Type="http://schemas.openxmlformats.org/officeDocument/2006/relationships/customXml" Target="../customXml/item41.xml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15.xml"/><Relationship Id="rId72" Type="http://schemas.openxmlformats.org/officeDocument/2006/relationships/customXml" Target="../customXml/item36.xml"/><Relationship Id="rId80" Type="http://schemas.openxmlformats.org/officeDocument/2006/relationships/customXml" Target="../customXml/item4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openxmlformats.org/officeDocument/2006/relationships/pivotCacheDefinition" Target="pivotCache/pivotCacheDefinition18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59" Type="http://schemas.openxmlformats.org/officeDocument/2006/relationships/customXml" Target="../customXml/item23.xml"/><Relationship Id="rId67" Type="http://schemas.openxmlformats.org/officeDocument/2006/relationships/customXml" Target="../customXml/item31.xml"/><Relationship Id="rId20" Type="http://schemas.openxmlformats.org/officeDocument/2006/relationships/pivotCacheDefinition" Target="pivotCache/pivotCacheDefinition13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62" Type="http://schemas.openxmlformats.org/officeDocument/2006/relationships/customXml" Target="../customXml/item26.xml"/><Relationship Id="rId70" Type="http://schemas.openxmlformats.org/officeDocument/2006/relationships/customXml" Target="../customXml/item34.xml"/><Relationship Id="rId75" Type="http://schemas.openxmlformats.org/officeDocument/2006/relationships/customXml" Target="../customXml/item39.xml"/><Relationship Id="rId83" Type="http://schemas.openxmlformats.org/officeDocument/2006/relationships/customXml" Target="../customXml/item4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8.xml"/><Relationship Id="rId23" Type="http://schemas.openxmlformats.org/officeDocument/2006/relationships/pivotCacheDefinition" Target="pivotCache/pivotCacheDefinition16.xml"/><Relationship Id="rId28" Type="http://schemas.openxmlformats.org/officeDocument/2006/relationships/pivotCacheDefinition" Target="pivotCache/pivotCacheDefinition21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3.xml"/><Relationship Id="rId31" Type="http://schemas.openxmlformats.org/officeDocument/2006/relationships/connections" Target="connection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Relationship Id="rId60" Type="http://schemas.openxmlformats.org/officeDocument/2006/relationships/customXml" Target="../customXml/item24.xml"/><Relationship Id="rId65" Type="http://schemas.openxmlformats.org/officeDocument/2006/relationships/customXml" Target="../customXml/item29.xml"/><Relationship Id="rId73" Type="http://schemas.openxmlformats.org/officeDocument/2006/relationships/customXml" Target="../customXml/item37.xml"/><Relationship Id="rId78" Type="http://schemas.openxmlformats.org/officeDocument/2006/relationships/customXml" Target="../customXml/item42.xml"/><Relationship Id="rId81" Type="http://schemas.openxmlformats.org/officeDocument/2006/relationships/customXml" Target="../customXml/item4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3" Type="http://schemas.openxmlformats.org/officeDocument/2006/relationships/pivotCacheDefinition" Target="pivotCache/pivotCacheDefinition6.xml"/><Relationship Id="rId18" Type="http://schemas.openxmlformats.org/officeDocument/2006/relationships/pivotCacheDefinition" Target="pivotCache/pivotCacheDefinition11.xml"/><Relationship Id="rId39" Type="http://schemas.openxmlformats.org/officeDocument/2006/relationships/customXml" Target="../customXml/item3.xml"/><Relationship Id="rId34" Type="http://schemas.openxmlformats.org/officeDocument/2006/relationships/powerPivotData" Target="model/item.data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6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35.xml"/><Relationship Id="rId2" Type="http://schemas.openxmlformats.org/officeDocument/2006/relationships/worksheet" Target="worksheets/sheet2.xml"/><Relationship Id="rId29" Type="http://schemas.microsoft.com/office/2007/relationships/slicerCache" Target="slicerCaches/slicerCache1.xml"/><Relationship Id="rId24" Type="http://schemas.openxmlformats.org/officeDocument/2006/relationships/pivotCacheDefinition" Target="pivotCache/pivotCacheDefinition17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66" Type="http://schemas.openxmlformats.org/officeDocument/2006/relationships/customXml" Target="../customXml/item3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[personal-finances-analysis.xlsm]Resumo!Movimentacao_mes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44450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222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44450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222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 cap="rnd">
            <a:solidFill>
              <a:schemeClr val="bg2">
                <a:lumMod val="5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Resumo!$J$3</c:f>
              <c:strCache>
                <c:ptCount val="1"/>
                <c:pt idx="0">
                  <c:v>Total Entradas</c:v>
                </c:pt>
              </c:strCache>
            </c:strRef>
          </c:tx>
          <c:spPr>
            <a:ln w="444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22225">
                <a:solidFill>
                  <a:schemeClr val="accent1"/>
                </a:solidFill>
              </a:ln>
              <a:effectLst/>
            </c:spPr>
          </c:marker>
          <c:cat>
            <c:strRef>
              <c:f>Resumo!$I$4:$I$8</c:f>
              <c:strCache>
                <c:ptCount val="4"/>
                <c:pt idx="0">
                  <c:v>Janeiro/2026</c:v>
                </c:pt>
                <c:pt idx="1">
                  <c:v>Fevereiro/2026</c:v>
                </c:pt>
                <c:pt idx="2">
                  <c:v>Março/2026</c:v>
                </c:pt>
                <c:pt idx="3">
                  <c:v>Abril/2026</c:v>
                </c:pt>
              </c:strCache>
            </c:strRef>
          </c:cat>
          <c:val>
            <c:numRef>
              <c:f>Resumo!$J$4:$J$8</c:f>
              <c:numCache>
                <c:formatCode>"R$"#,##0.00_);\("R$"#,##0.00\)</c:formatCode>
                <c:ptCount val="4"/>
                <c:pt idx="0">
                  <c:v>5500</c:v>
                </c:pt>
                <c:pt idx="1">
                  <c:v>5500</c:v>
                </c:pt>
                <c:pt idx="2">
                  <c:v>6300</c:v>
                </c:pt>
                <c:pt idx="3">
                  <c:v>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68-45F6-A657-368ECB45DE53}"/>
            </c:ext>
          </c:extLst>
        </c:ser>
        <c:ser>
          <c:idx val="1"/>
          <c:order val="1"/>
          <c:tx>
            <c:strRef>
              <c:f>Resumo!$K$3</c:f>
              <c:strCache>
                <c:ptCount val="1"/>
                <c:pt idx="0">
                  <c:v>Total Saidas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2225">
                <a:solidFill>
                  <a:srgbClr val="FF0000"/>
                </a:solidFill>
              </a:ln>
              <a:effectLst/>
            </c:spPr>
          </c:marker>
          <c:cat>
            <c:strRef>
              <c:f>Resumo!$I$4:$I$8</c:f>
              <c:strCache>
                <c:ptCount val="4"/>
                <c:pt idx="0">
                  <c:v>Janeiro/2026</c:v>
                </c:pt>
                <c:pt idx="1">
                  <c:v>Fevereiro/2026</c:v>
                </c:pt>
                <c:pt idx="2">
                  <c:v>Março/2026</c:v>
                </c:pt>
                <c:pt idx="3">
                  <c:v>Abril/2026</c:v>
                </c:pt>
              </c:strCache>
            </c:strRef>
          </c:cat>
          <c:val>
            <c:numRef>
              <c:f>Resumo!$K$4:$K$8</c:f>
              <c:numCache>
                <c:formatCode>"R$"#,##0.00_);\("R$"#,##0.00\)</c:formatCode>
                <c:ptCount val="4"/>
                <c:pt idx="0">
                  <c:v>1241.95</c:v>
                </c:pt>
                <c:pt idx="1">
                  <c:v>2692.77</c:v>
                </c:pt>
                <c:pt idx="2">
                  <c:v>3915.42</c:v>
                </c:pt>
                <c:pt idx="3">
                  <c:v>2033.82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68-45F6-A657-368ECB45D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693807"/>
        <c:axId val="1527692847"/>
      </c:lineChart>
      <c:catAx>
        <c:axId val="152769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7692847"/>
        <c:crosses val="autoZero"/>
        <c:auto val="1"/>
        <c:lblAlgn val="ctr"/>
        <c:lblOffset val="100"/>
        <c:noMultiLvlLbl val="0"/>
      </c:catAx>
      <c:valAx>
        <c:axId val="1527692847"/>
        <c:scaling>
          <c:orientation val="minMax"/>
        </c:scaling>
        <c:delete val="0"/>
        <c:axPos val="l"/>
        <c:numFmt formatCode="&quot;R$&quot;#,##0.00_);\(&quot;R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769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>
        <a:alpha val="50196"/>
      </a:srgb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[personal-finances-analysis.xlsm]Resumo!Saidas_categoria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2000">
                <a:solidFill>
                  <a:sysClr val="windowText" lastClr="000000"/>
                </a:solidFill>
              </a:rPr>
              <a:t>Distribuição</a:t>
            </a:r>
            <a:r>
              <a:rPr lang="pt-BR" sz="2000" baseline="0">
                <a:solidFill>
                  <a:sysClr val="windowText" lastClr="000000"/>
                </a:solidFill>
              </a:rPr>
              <a:t> de Gastos</a:t>
            </a:r>
            <a:endParaRPr lang="pt-BR" sz="200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bg2">
              <a:lumMod val="90000"/>
            </a:schemeClr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90000"/>
            </a:schemeClr>
          </a:solidFill>
          <a:ln w="19050">
            <a:noFill/>
          </a:ln>
          <a:effectLst/>
        </c:spPr>
      </c:pivotFmt>
      <c:pivotFmt>
        <c:idx val="8"/>
        <c:spPr>
          <a:solidFill>
            <a:schemeClr val="bg2">
              <a:lumMod val="90000"/>
            </a:schemeClr>
          </a:solidFill>
          <a:ln w="19050">
            <a:noFill/>
          </a:ln>
          <a:effectLst/>
        </c:spPr>
      </c:pivotFmt>
      <c:pivotFmt>
        <c:idx val="9"/>
        <c:spPr>
          <a:solidFill>
            <a:schemeClr val="bg2">
              <a:lumMod val="90000"/>
            </a:schemeClr>
          </a:solidFill>
          <a:ln w="19050">
            <a:noFill/>
          </a:ln>
          <a:effectLst/>
        </c:spPr>
      </c:pivotFmt>
      <c:pivotFmt>
        <c:idx val="10"/>
        <c:spPr>
          <a:solidFill>
            <a:schemeClr val="bg2">
              <a:lumMod val="90000"/>
            </a:schemeClr>
          </a:solidFill>
          <a:ln w="19050">
            <a:noFill/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 w="19050">
            <a:noFill/>
          </a:ln>
          <a:effectLst/>
        </c:spPr>
        <c:marker>
          <c:symbol val="none"/>
        </c:marker>
        <c:dLbl>
          <c:idx val="0"/>
          <c:numFmt formatCode="&quot;R$&quot;\ 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>
              <a:lumMod val="90000"/>
            </a:schemeClr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0000"/>
          </a:solidFill>
          <a:ln w="19050">
            <a:noFill/>
          </a:ln>
          <a:effectLst/>
        </c:spPr>
        <c:dLbl>
          <c:idx val="0"/>
          <c:numFmt formatCode="&quot;R$&quot;\ 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0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noFill/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713977952518069E-2"/>
          <c:y val="0.19987158629964638"/>
          <c:w val="0.93009829974314584"/>
          <c:h val="0.7335783027121609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Resumo!$N$1</c:f>
              <c:strCache>
                <c:ptCount val="1"/>
                <c:pt idx="0">
                  <c:v>Valor Top 1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2EE-4992-B096-821C2D05034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A50-4F6E-B044-F6EB307340A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EB0A-436C-B892-21D2A9D81612}"/>
              </c:ext>
            </c:extLst>
          </c:dPt>
          <c:dLbls>
            <c:dLbl>
              <c:idx val="6"/>
              <c:showLegendKey val="1"/>
              <c:showVal val="1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0A-436C-B892-21D2A9D81612}"/>
                </c:ext>
              </c:extLst>
            </c:dLbl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Resumo!$M$2:$M$9</c:f>
              <c:strCache>
                <c:ptCount val="7"/>
                <c:pt idx="0">
                  <c:v>Saúde</c:v>
                </c:pt>
                <c:pt idx="1">
                  <c:v>Lazer/Assinaturas</c:v>
                </c:pt>
                <c:pt idx="2">
                  <c:v>Moradia</c:v>
                </c:pt>
                <c:pt idx="3">
                  <c:v>Saque</c:v>
                </c:pt>
                <c:pt idx="4">
                  <c:v>Alimentação</c:v>
                </c:pt>
                <c:pt idx="5">
                  <c:v>Transferências</c:v>
                </c:pt>
                <c:pt idx="6">
                  <c:v>Cartão</c:v>
                </c:pt>
              </c:strCache>
            </c:strRef>
          </c:cat>
          <c:val>
            <c:numRef>
              <c:f>Resumo!$N$2:$N$9</c:f>
              <c:numCache>
                <c:formatCode>General</c:formatCode>
                <c:ptCount val="7"/>
                <c:pt idx="6">
                  <c:v>1891.84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3B-4088-821B-A068421CEF06}"/>
            </c:ext>
          </c:extLst>
        </c:ser>
        <c:ser>
          <c:idx val="1"/>
          <c:order val="1"/>
          <c:tx>
            <c:strRef>
              <c:f>Resumo!$O$1</c:f>
              <c:strCache>
                <c:ptCount val="1"/>
                <c:pt idx="0">
                  <c:v>Valor Demais Categorias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19050">
              <a:noFill/>
            </a:ln>
            <a:effectLst/>
          </c:spPr>
          <c:invertIfNegative val="0"/>
          <c:cat>
            <c:strRef>
              <c:f>Resumo!$M$2:$M$9</c:f>
              <c:strCache>
                <c:ptCount val="7"/>
                <c:pt idx="0">
                  <c:v>Saúde</c:v>
                </c:pt>
                <c:pt idx="1">
                  <c:v>Lazer/Assinaturas</c:v>
                </c:pt>
                <c:pt idx="2">
                  <c:v>Moradia</c:v>
                </c:pt>
                <c:pt idx="3">
                  <c:v>Saque</c:v>
                </c:pt>
                <c:pt idx="4">
                  <c:v>Alimentação</c:v>
                </c:pt>
                <c:pt idx="5">
                  <c:v>Transferências</c:v>
                </c:pt>
                <c:pt idx="6">
                  <c:v>Cartão</c:v>
                </c:pt>
              </c:strCache>
            </c:strRef>
          </c:cat>
          <c:val>
            <c:numRef>
              <c:f>Resumo!$O$2:$O$9</c:f>
              <c:numCache>
                <c:formatCode>General</c:formatCode>
                <c:ptCount val="7"/>
                <c:pt idx="0">
                  <c:v>78.5</c:v>
                </c:pt>
                <c:pt idx="1">
                  <c:v>99.9</c:v>
                </c:pt>
                <c:pt idx="2">
                  <c:v>435.95</c:v>
                </c:pt>
                <c:pt idx="3">
                  <c:v>500</c:v>
                </c:pt>
                <c:pt idx="4">
                  <c:v>520.4</c:v>
                </c:pt>
                <c:pt idx="5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3B-4088-821B-A068421CEF06}"/>
            </c:ext>
          </c:extLst>
        </c:ser>
        <c:ser>
          <c:idx val="2"/>
          <c:order val="2"/>
          <c:tx>
            <c:strRef>
              <c:f>Resumo!$P$1</c:f>
              <c:strCache>
                <c:ptCount val="1"/>
                <c:pt idx="0">
                  <c:v>Total Saidas</c:v>
                </c:pt>
              </c:strCache>
            </c:strRef>
          </c:tx>
          <c:spPr>
            <a:noFill/>
            <a:ln w="19050">
              <a:noFill/>
            </a:ln>
            <a:effectLst/>
          </c:spPr>
          <c:invertIfNegative val="0"/>
          <c:cat>
            <c:strRef>
              <c:f>Resumo!$M$2:$M$9</c:f>
              <c:strCache>
                <c:ptCount val="7"/>
                <c:pt idx="0">
                  <c:v>Saúde</c:v>
                </c:pt>
                <c:pt idx="1">
                  <c:v>Lazer/Assinaturas</c:v>
                </c:pt>
                <c:pt idx="2">
                  <c:v>Moradia</c:v>
                </c:pt>
                <c:pt idx="3">
                  <c:v>Saque</c:v>
                </c:pt>
                <c:pt idx="4">
                  <c:v>Alimentação</c:v>
                </c:pt>
                <c:pt idx="5">
                  <c:v>Transferências</c:v>
                </c:pt>
                <c:pt idx="6">
                  <c:v>Cartão</c:v>
                </c:pt>
              </c:strCache>
            </c:strRef>
          </c:cat>
          <c:val>
            <c:numRef>
              <c:f>Resumo!$P$2:$P$9</c:f>
              <c:numCache>
                <c:formatCode>"R$"#,##0.00_);\("R$"#,##0.00\)</c:formatCode>
                <c:ptCount val="7"/>
                <c:pt idx="0">
                  <c:v>78.5</c:v>
                </c:pt>
                <c:pt idx="1">
                  <c:v>99.9</c:v>
                </c:pt>
                <c:pt idx="2">
                  <c:v>435.95</c:v>
                </c:pt>
                <c:pt idx="3">
                  <c:v>500</c:v>
                </c:pt>
                <c:pt idx="4">
                  <c:v>520.4</c:v>
                </c:pt>
                <c:pt idx="5">
                  <c:v>1200</c:v>
                </c:pt>
                <c:pt idx="6">
                  <c:v>1891.84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3B-4088-821B-A068421CE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1362879696"/>
        <c:axId val="1362885456"/>
      </c:barChart>
      <c:valAx>
        <c:axId val="136288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879696"/>
        <c:crosses val="autoZero"/>
        <c:crossBetween val="between"/>
        <c:majorUnit val="1000"/>
      </c:valAx>
      <c:catAx>
        <c:axId val="1362879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8854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alpha val="5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29</xdr:col>
      <xdr:colOff>561975</xdr:colOff>
      <xdr:row>48</xdr:row>
      <xdr:rowOff>161925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6DCEED48-E130-AC31-DBA7-7FCC89808B43}"/>
            </a:ext>
          </a:extLst>
        </xdr:cNvPr>
        <xdr:cNvSpPr/>
      </xdr:nvSpPr>
      <xdr:spPr>
        <a:xfrm>
          <a:off x="0" y="19050"/>
          <a:ext cx="18240375" cy="9286875"/>
        </a:xfrm>
        <a:prstGeom prst="rect">
          <a:avLst/>
        </a:prstGeom>
        <a:solidFill>
          <a:srgbClr val="F2F2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200675</xdr:colOff>
      <xdr:row>7</xdr:row>
      <xdr:rowOff>29795</xdr:rowOff>
    </xdr:from>
    <xdr:to>
      <xdr:col>3</xdr:col>
      <xdr:colOff>420275</xdr:colOff>
      <xdr:row>14</xdr:row>
      <xdr:rowOff>41720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FD0EDCF3-78F4-44C3-5576-3A46BFEE6FE7}"/>
            </a:ext>
          </a:extLst>
        </xdr:cNvPr>
        <xdr:cNvGrpSpPr/>
      </xdr:nvGrpSpPr>
      <xdr:grpSpPr>
        <a:xfrm>
          <a:off x="200675" y="1363295"/>
          <a:ext cx="2048400" cy="1345425"/>
          <a:chOff x="200675" y="1363295"/>
          <a:chExt cx="2048400" cy="1345425"/>
        </a:xfrm>
      </xdr:grpSpPr>
      <xdr:sp macro="" textlink="">
        <xdr:nvSpPr>
          <xdr:cNvPr id="2" name="CardSaldo">
            <a:extLst>
              <a:ext uri="{FF2B5EF4-FFF2-40B4-BE49-F238E27FC236}">
                <a16:creationId xmlns:a16="http://schemas.microsoft.com/office/drawing/2014/main" id="{BEED889E-6518-CBC6-2A34-81D8DDE07C35}"/>
              </a:ext>
            </a:extLst>
          </xdr:cNvPr>
          <xdr:cNvSpPr/>
        </xdr:nvSpPr>
        <xdr:spPr>
          <a:xfrm>
            <a:off x="201504" y="1371865"/>
            <a:ext cx="2046945" cy="1336855"/>
          </a:xfrm>
          <a:prstGeom prst="round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 b="1">
              <a:solidFill>
                <a:schemeClr val="bg1"/>
              </a:solidFill>
            </a:endParaRP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64B7658B-1197-D07B-7A61-1F5BDED256A6}"/>
              </a:ext>
            </a:extLst>
          </xdr:cNvPr>
          <xdr:cNvSpPr/>
        </xdr:nvSpPr>
        <xdr:spPr>
          <a:xfrm>
            <a:off x="200675" y="1523260"/>
            <a:ext cx="2048400" cy="154967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1"/>
              </a:solidFill>
            </a:endParaRPr>
          </a:p>
        </xdr:txBody>
      </xdr:sp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1038B84F-5CD1-D25C-74AC-1A83750D5A14}"/>
              </a:ext>
            </a:extLst>
          </xdr:cNvPr>
          <xdr:cNvSpPr/>
        </xdr:nvSpPr>
        <xdr:spPr>
          <a:xfrm>
            <a:off x="201703" y="1363295"/>
            <a:ext cx="2046216" cy="312075"/>
          </a:xfrm>
          <a:prstGeom prst="roundRect">
            <a:avLst>
              <a:gd name="adj" fmla="val 50000"/>
            </a:avLst>
          </a:prstGeom>
          <a:solidFill>
            <a:schemeClr val="tx2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solidFill>
                  <a:schemeClr val="bg1"/>
                </a:solidFill>
              </a:rPr>
              <a:t>Saldo</a:t>
            </a:r>
            <a:r>
              <a:rPr lang="pt-BR" sz="2000" b="1" baseline="0">
                <a:solidFill>
                  <a:schemeClr val="bg1"/>
                </a:solidFill>
              </a:rPr>
              <a:t> Atual</a:t>
            </a:r>
            <a:endParaRPr lang="pt-BR" sz="2000" b="1">
              <a:solidFill>
                <a:schemeClr val="bg1"/>
              </a:solidFill>
            </a:endParaRPr>
          </a:p>
        </xdr:txBody>
      </xdr:sp>
      <xdr:sp macro="" textlink="">
        <xdr:nvSpPr>
          <xdr:cNvPr id="4" name="TxtSaldo">
            <a:extLst>
              <a:ext uri="{FF2B5EF4-FFF2-40B4-BE49-F238E27FC236}">
                <a16:creationId xmlns:a16="http://schemas.microsoft.com/office/drawing/2014/main" id="{35350F31-F47D-0916-5FFD-7A596ADAE65D}"/>
              </a:ext>
            </a:extLst>
          </xdr:cNvPr>
          <xdr:cNvSpPr txBox="1"/>
        </xdr:nvSpPr>
        <xdr:spPr>
          <a:xfrm>
            <a:off x="257175" y="1842689"/>
            <a:ext cx="1924049" cy="3952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>
                <a:solidFill>
                  <a:srgbClr val="00B050"/>
                </a:solidFill>
              </a:rPr>
              <a:t>R$ 12.916,04</a:t>
            </a:r>
          </a:p>
        </xdr:txBody>
      </xdr:sp>
    </xdr:grpSp>
    <xdr:clientData/>
  </xdr:twoCellAnchor>
  <xdr:twoCellAnchor>
    <xdr:from>
      <xdr:col>25</xdr:col>
      <xdr:colOff>498421</xdr:colOff>
      <xdr:row>7</xdr:row>
      <xdr:rowOff>29888</xdr:rowOff>
    </xdr:from>
    <xdr:to>
      <xdr:col>29</xdr:col>
      <xdr:colOff>108421</xdr:colOff>
      <xdr:row>14</xdr:row>
      <xdr:rowOff>41626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5EEF86A2-C746-3631-4CBD-074FFB05312D}"/>
            </a:ext>
          </a:extLst>
        </xdr:cNvPr>
        <xdr:cNvGrpSpPr/>
      </xdr:nvGrpSpPr>
      <xdr:grpSpPr>
        <a:xfrm>
          <a:off x="15738421" y="1363388"/>
          <a:ext cx="2048400" cy="1345238"/>
          <a:chOff x="15738421" y="1363388"/>
          <a:chExt cx="2048400" cy="1345238"/>
        </a:xfrm>
      </xdr:grpSpPr>
      <xdr:sp macro="" textlink="">
        <xdr:nvSpPr>
          <xdr:cNvPr id="18" name="CardAPagar">
            <a:extLst>
              <a:ext uri="{FF2B5EF4-FFF2-40B4-BE49-F238E27FC236}">
                <a16:creationId xmlns:a16="http://schemas.microsoft.com/office/drawing/2014/main" id="{08306E17-AE54-E95B-DB74-BA9C53B600AE}"/>
              </a:ext>
            </a:extLst>
          </xdr:cNvPr>
          <xdr:cNvSpPr/>
        </xdr:nvSpPr>
        <xdr:spPr>
          <a:xfrm>
            <a:off x="15739250" y="1371957"/>
            <a:ext cx="2046946" cy="1336669"/>
          </a:xfrm>
          <a:prstGeom prst="round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 i="0" u="none" strike="noStrike">
                <a:latin typeface="Aptos Narrow"/>
              </a:rPr>
              <a:t> 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43B91658-0E7C-E14E-8625-E3D34B7E6BC0}"/>
              </a:ext>
            </a:extLst>
          </xdr:cNvPr>
          <xdr:cNvSpPr/>
        </xdr:nvSpPr>
        <xdr:spPr>
          <a:xfrm>
            <a:off x="15738421" y="1523331"/>
            <a:ext cx="2048400" cy="154945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E00B2F21-4930-CEDA-84B8-F327819F29BC}"/>
              </a:ext>
            </a:extLst>
          </xdr:cNvPr>
          <xdr:cNvSpPr/>
        </xdr:nvSpPr>
        <xdr:spPr>
          <a:xfrm>
            <a:off x="15739449" y="1363388"/>
            <a:ext cx="2046216" cy="312032"/>
          </a:xfrm>
          <a:prstGeom prst="roundRect">
            <a:avLst>
              <a:gd name="adj" fmla="val 50000"/>
            </a:avLst>
          </a:prstGeom>
          <a:solidFill>
            <a:schemeClr val="tx2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/>
              <a:t>A</a:t>
            </a:r>
            <a:r>
              <a:rPr lang="pt-BR" sz="2000" b="1" baseline="0"/>
              <a:t> Pagar</a:t>
            </a:r>
            <a:endParaRPr lang="pt-BR" sz="2000" b="1"/>
          </a:p>
        </xdr:txBody>
      </xdr:sp>
      <xdr:sp macro="" textlink="Resumo!B22">
        <xdr:nvSpPr>
          <xdr:cNvPr id="28" name="TxtAPagar">
            <a:extLst>
              <a:ext uri="{FF2B5EF4-FFF2-40B4-BE49-F238E27FC236}">
                <a16:creationId xmlns:a16="http://schemas.microsoft.com/office/drawing/2014/main" id="{E325C2EF-6DA0-B947-833D-408A228C6880}"/>
              </a:ext>
            </a:extLst>
          </xdr:cNvPr>
          <xdr:cNvSpPr txBox="1"/>
        </xdr:nvSpPr>
        <xdr:spPr>
          <a:xfrm>
            <a:off x="15882728" y="1842715"/>
            <a:ext cx="1750754" cy="3951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rgbClr val="FF0000"/>
                </a:solidFill>
                <a:latin typeface="Aptos Narrow"/>
              </a:rPr>
              <a:t>R$ 763,03</a:t>
            </a:r>
            <a:endParaRPr lang="en-US" sz="1800" b="1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0</xdr:col>
      <xdr:colOff>39655</xdr:colOff>
      <xdr:row>14</xdr:row>
      <xdr:rowOff>142875</xdr:rowOff>
    </xdr:from>
    <xdr:to>
      <xdr:col>29</xdr:col>
      <xdr:colOff>276171</xdr:colOff>
      <xdr:row>30</xdr:row>
      <xdr:rowOff>9524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FC0D63EE-B024-AC79-7E98-B9683019F280}"/>
            </a:ext>
          </a:extLst>
        </xdr:cNvPr>
        <xdr:cNvGrpSpPr/>
      </xdr:nvGrpSpPr>
      <xdr:grpSpPr>
        <a:xfrm>
          <a:off x="39655" y="2809875"/>
          <a:ext cx="17914916" cy="2914649"/>
          <a:chOff x="39655" y="2809875"/>
          <a:chExt cx="17914916" cy="2914649"/>
        </a:xfrm>
      </xdr:grpSpPr>
      <xdr:graphicFrame macro="">
        <xdr:nvGraphicFramePr>
          <xdr:cNvPr id="63" name="Gráfico 62">
            <a:extLst>
              <a:ext uri="{FF2B5EF4-FFF2-40B4-BE49-F238E27FC236}">
                <a16:creationId xmlns:a16="http://schemas.microsoft.com/office/drawing/2014/main" id="{96D21D53-614D-44BC-9E00-37ABD27A0B61}"/>
              </a:ext>
            </a:extLst>
          </xdr:cNvPr>
          <xdr:cNvGraphicFramePr>
            <a:graphicFrameLocks/>
          </xdr:cNvGraphicFramePr>
        </xdr:nvGraphicFramePr>
        <xdr:xfrm>
          <a:off x="39655" y="2809875"/>
          <a:ext cx="17914916" cy="29146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5" name="TítuloGraphLinha">
            <a:extLst>
              <a:ext uri="{FF2B5EF4-FFF2-40B4-BE49-F238E27FC236}">
                <a16:creationId xmlns:a16="http://schemas.microsoft.com/office/drawing/2014/main" id="{47004DDC-2565-E7D7-20EB-E3D24DFB6EED}"/>
              </a:ext>
            </a:extLst>
          </xdr:cNvPr>
          <xdr:cNvSpPr txBox="1"/>
        </xdr:nvSpPr>
        <xdr:spPr>
          <a:xfrm>
            <a:off x="7860156" y="2860116"/>
            <a:ext cx="336934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pt-BR" sz="2000"/>
              <a:t>Fluxo de Caixa Mensal</a:t>
            </a:r>
            <a:endParaRPr lang="pt-BR" sz="2000" baseline="0"/>
          </a:p>
        </xdr:txBody>
      </xdr:sp>
    </xdr:grpSp>
    <xdr:clientData/>
  </xdr:twoCellAnchor>
  <xdr:twoCellAnchor>
    <xdr:from>
      <xdr:col>0</xdr:col>
      <xdr:colOff>39655</xdr:colOff>
      <xdr:row>30</xdr:row>
      <xdr:rowOff>85724</xdr:rowOff>
    </xdr:from>
    <xdr:to>
      <xdr:col>29</xdr:col>
      <xdr:colOff>266700</xdr:colOff>
      <xdr:row>48</xdr:row>
      <xdr:rowOff>114299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283E7D55-2C31-4A3F-C3F4-5019CC092E8D}"/>
            </a:ext>
          </a:extLst>
        </xdr:cNvPr>
        <xdr:cNvGrpSpPr/>
      </xdr:nvGrpSpPr>
      <xdr:grpSpPr>
        <a:xfrm>
          <a:off x="39655" y="5800724"/>
          <a:ext cx="17905445" cy="3457575"/>
          <a:chOff x="39655" y="5800724"/>
          <a:chExt cx="17905445" cy="3457575"/>
        </a:xfrm>
      </xdr:grpSpPr>
      <xdr:graphicFrame macro="">
        <xdr:nvGraphicFramePr>
          <xdr:cNvPr id="76" name="Gráfico 75">
            <a:extLst>
              <a:ext uri="{FF2B5EF4-FFF2-40B4-BE49-F238E27FC236}">
                <a16:creationId xmlns:a16="http://schemas.microsoft.com/office/drawing/2014/main" id="{D2C3F423-CB79-4639-963E-4637368B2503}"/>
              </a:ext>
            </a:extLst>
          </xdr:cNvPr>
          <xdr:cNvGraphicFramePr>
            <a:graphicFrameLocks/>
          </xdr:cNvGraphicFramePr>
        </xdr:nvGraphicFramePr>
        <xdr:xfrm>
          <a:off x="39655" y="5800724"/>
          <a:ext cx="17905445" cy="34575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8" name="TxtCategoriaGraph">
            <a:extLst>
              <a:ext uri="{FF2B5EF4-FFF2-40B4-BE49-F238E27FC236}">
                <a16:creationId xmlns:a16="http://schemas.microsoft.com/office/drawing/2014/main" id="{19CDD017-3F3A-D27E-18B9-20D9C2DD23DF}"/>
              </a:ext>
            </a:extLst>
          </xdr:cNvPr>
          <xdr:cNvSpPr txBox="1"/>
        </xdr:nvSpPr>
        <xdr:spPr>
          <a:xfrm>
            <a:off x="7419975" y="6153150"/>
            <a:ext cx="18859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pt-BR" sz="2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Maior</a:t>
            </a:r>
            <a:r>
              <a:rPr lang="pt-BR" sz="2000"/>
              <a:t> </a:t>
            </a:r>
            <a:r>
              <a:rPr lang="pt-BR" sz="2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gasto</a:t>
            </a:r>
            <a:r>
              <a:rPr lang="pt-BR" sz="2000"/>
              <a:t>:</a:t>
            </a:r>
          </a:p>
        </xdr:txBody>
      </xdr:sp>
      <xdr:sp macro="" textlink="Resumo!A24">
        <xdr:nvSpPr>
          <xdr:cNvPr id="79" name="TxtNomeeValor">
            <a:extLst>
              <a:ext uri="{FF2B5EF4-FFF2-40B4-BE49-F238E27FC236}">
                <a16:creationId xmlns:a16="http://schemas.microsoft.com/office/drawing/2014/main" id="{6F64A699-DD5F-3F57-A57F-FF96B09B64D8}"/>
              </a:ext>
            </a:extLst>
          </xdr:cNvPr>
          <xdr:cNvSpPr txBox="1"/>
        </xdr:nvSpPr>
        <xdr:spPr>
          <a:xfrm>
            <a:off x="8782050" y="6153150"/>
            <a:ext cx="341947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C375EB0-C3CA-4FDA-A338-A5F3BDDC5000}" type="TxLink">
              <a:rPr lang="en-US" sz="2000" b="1" i="0" u="none" strike="noStrike">
                <a:solidFill>
                  <a:srgbClr val="FF0000"/>
                </a:solidFill>
                <a:latin typeface="Aptos Narrow"/>
              </a:rPr>
              <a:pPr/>
              <a:t>Cartão (R$ 1.891,84)</a:t>
            </a:fld>
            <a:endParaRPr lang="pt-BR" sz="11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12</xdr:col>
      <xdr:colOff>451318</xdr:colOff>
      <xdr:row>2</xdr:row>
      <xdr:rowOff>104773</xdr:rowOff>
    </xdr:from>
    <xdr:to>
      <xdr:col>20</xdr:col>
      <xdr:colOff>367833</xdr:colOff>
      <xdr:row>6</xdr:row>
      <xdr:rowOff>120207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46707401-7FB7-C1DE-059D-19A4DAD5386B}"/>
            </a:ext>
          </a:extLst>
        </xdr:cNvPr>
        <xdr:cNvGrpSpPr/>
      </xdr:nvGrpSpPr>
      <xdr:grpSpPr>
        <a:xfrm>
          <a:off x="7766518" y="485773"/>
          <a:ext cx="4793315" cy="777434"/>
          <a:chOff x="7766518" y="485773"/>
          <a:chExt cx="4793315" cy="777434"/>
        </a:xfrm>
      </xdr:grpSpPr>
      <xdr:sp macro="" textlink="" fLocksText="0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F4CEF624-9F2F-0F6F-9AD2-D67C4B9422D8}"/>
              </a:ext>
            </a:extLst>
          </xdr:cNvPr>
          <xdr:cNvSpPr/>
        </xdr:nvSpPr>
        <xdr:spPr>
          <a:xfrm>
            <a:off x="7766518" y="485775"/>
            <a:ext cx="4793315" cy="777432"/>
          </a:xfrm>
          <a:prstGeom prst="roundRect">
            <a:avLst/>
          </a:prstGeom>
          <a:solidFill>
            <a:schemeClr val="tx1">
              <a:alpha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1" name="Mês">
                <a:extLst>
                  <a:ext uri="{FF2B5EF4-FFF2-40B4-BE49-F238E27FC236}">
                    <a16:creationId xmlns:a16="http://schemas.microsoft.com/office/drawing/2014/main" id="{EEEDCA82-DE00-3AE5-2544-DCE0927F76F6}"/>
                  </a:ext>
                </a:extLst>
              </xdr:cNvPr>
              <xdr:cNvGraphicFramePr/>
            </xdr:nvGraphicFramePr>
            <xdr:xfrm>
              <a:off x="7766519" y="485773"/>
              <a:ext cx="4756681" cy="736515"/>
            </xdr:xfrm>
            <a:graphic>
              <a:graphicData uri="http://schemas.microsoft.com/office/drawing/2010/slicer">
                <sle:slicer xmlns:sle="http://schemas.microsoft.com/office/drawing/2010/slicer" name="Mê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766519" y="485773"/>
                <a:ext cx="4756681" cy="73651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</xdr:grpSp>
    <xdr:clientData fLocksWithSheet="0"/>
  </xdr:twoCellAnchor>
  <xdr:twoCellAnchor editAs="absolute">
    <xdr:from>
      <xdr:col>12</xdr:col>
      <xdr:colOff>9525</xdr:colOff>
      <xdr:row>0</xdr:row>
      <xdr:rowOff>57150</xdr:rowOff>
    </xdr:from>
    <xdr:to>
      <xdr:col>21</xdr:col>
      <xdr:colOff>561975</xdr:colOff>
      <xdr:row>2</xdr:row>
      <xdr:rowOff>104775</xdr:rowOff>
    </xdr:to>
    <xdr:sp macro="" textlink="Resumo!B24">
      <xdr:nvSpPr>
        <xdr:cNvPr id="12" name="TxtTituloDashboard">
          <a:extLst>
            <a:ext uri="{FF2B5EF4-FFF2-40B4-BE49-F238E27FC236}">
              <a16:creationId xmlns:a16="http://schemas.microsoft.com/office/drawing/2014/main" id="{AC02F810-11C9-5ACA-2E33-AA8B0AB10CA5}"/>
            </a:ext>
          </a:extLst>
        </xdr:cNvPr>
        <xdr:cNvSpPr txBox="1"/>
      </xdr:nvSpPr>
      <xdr:spPr>
        <a:xfrm>
          <a:off x="7324725" y="57150"/>
          <a:ext cx="6038850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813806A-F11D-4A48-94B3-3C2C31599D0B}" type="TxLink">
            <a:rPr lang="en-US" sz="2400" b="1" i="0" u="none" strike="noStrike">
              <a:solidFill>
                <a:srgbClr val="000000"/>
              </a:solidFill>
              <a:latin typeface="Aptos Narrow"/>
            </a:rPr>
            <a:pPr/>
            <a:t>Dashboard Financeiro — Meses Selecionados</a:t>
          </a:fld>
          <a:endParaRPr lang="en-US" sz="2400" b="1"/>
        </a:p>
      </xdr:txBody>
    </xdr:sp>
    <xdr:clientData/>
  </xdr:twoCellAnchor>
  <xdr:twoCellAnchor>
    <xdr:from>
      <xdr:col>5</xdr:col>
      <xdr:colOff>92646</xdr:colOff>
      <xdr:row>7</xdr:row>
      <xdr:rowOff>29888</xdr:rowOff>
    </xdr:from>
    <xdr:to>
      <xdr:col>8</xdr:col>
      <xdr:colOff>316729</xdr:colOff>
      <xdr:row>14</xdr:row>
      <xdr:rowOff>41626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8DE11FB6-9251-7874-6D7E-6A117AF3721B}"/>
            </a:ext>
          </a:extLst>
        </xdr:cNvPr>
        <xdr:cNvGrpSpPr/>
      </xdr:nvGrpSpPr>
      <xdr:grpSpPr>
        <a:xfrm>
          <a:off x="3140646" y="1363388"/>
          <a:ext cx="2052883" cy="1345238"/>
          <a:chOff x="3140646" y="1363388"/>
          <a:chExt cx="2052883" cy="1345238"/>
        </a:xfrm>
      </xdr:grpSpPr>
      <xdr:sp macro="" textlink="">
        <xdr:nvSpPr>
          <xdr:cNvPr id="25" name="CardSaidas">
            <a:extLst>
              <a:ext uri="{FF2B5EF4-FFF2-40B4-BE49-F238E27FC236}">
                <a16:creationId xmlns:a16="http://schemas.microsoft.com/office/drawing/2014/main" id="{7CE87C96-6507-9A15-5506-11CB94915155}"/>
              </a:ext>
            </a:extLst>
          </xdr:cNvPr>
          <xdr:cNvSpPr/>
        </xdr:nvSpPr>
        <xdr:spPr>
          <a:xfrm>
            <a:off x="3141477" y="1371957"/>
            <a:ext cx="2051425" cy="1336669"/>
          </a:xfrm>
          <a:prstGeom prst="roundRect">
            <a:avLst/>
          </a:prstGeom>
          <a:solidFill>
            <a:schemeClr val="bg1"/>
          </a:solidFill>
          <a:ln w="317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31750" cap="flat" cmpd="sng" algn="ctr">
                <a:solidFill>
                  <a:srgbClr val="FF0000"/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 b="1">
              <a:solidFill>
                <a:srgbClr val="FF0000"/>
              </a:solidFill>
            </a:endParaRPr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618A176A-01FD-D92E-5A56-E49B170969C6}"/>
              </a:ext>
            </a:extLst>
          </xdr:cNvPr>
          <xdr:cNvSpPr/>
        </xdr:nvSpPr>
        <xdr:spPr>
          <a:xfrm>
            <a:off x="3140646" y="1523331"/>
            <a:ext cx="2052883" cy="154945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65559FE2-2237-51BA-3447-A813CC1C2596}"/>
              </a:ext>
            </a:extLst>
          </xdr:cNvPr>
          <xdr:cNvSpPr/>
        </xdr:nvSpPr>
        <xdr:spPr>
          <a:xfrm>
            <a:off x="3141676" y="1363388"/>
            <a:ext cx="2050694" cy="312032"/>
          </a:xfrm>
          <a:prstGeom prst="roundRect">
            <a:avLst>
              <a:gd name="adj" fmla="val 50000"/>
            </a:avLst>
          </a:prstGeom>
          <a:solidFill>
            <a:schemeClr val="tx2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/>
              <a:t>Total</a:t>
            </a:r>
            <a:r>
              <a:rPr lang="pt-BR" sz="2000" b="1" baseline="0"/>
              <a:t> Saídas</a:t>
            </a:r>
            <a:endParaRPr lang="pt-BR" sz="2000" b="1"/>
          </a:p>
        </xdr:txBody>
      </xdr:sp>
      <xdr:sp macro="" textlink="">
        <xdr:nvSpPr>
          <xdr:cNvPr id="7" name="TxtSaidas">
            <a:extLst>
              <a:ext uri="{FF2B5EF4-FFF2-40B4-BE49-F238E27FC236}">
                <a16:creationId xmlns:a16="http://schemas.microsoft.com/office/drawing/2014/main" id="{1D56FF28-315D-6458-5D88-7CDC39922DDB}"/>
              </a:ext>
            </a:extLst>
          </xdr:cNvPr>
          <xdr:cNvSpPr txBox="1"/>
        </xdr:nvSpPr>
        <xdr:spPr>
          <a:xfrm>
            <a:off x="3456433" y="1690329"/>
            <a:ext cx="1421512" cy="3951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>
                <a:solidFill>
                  <a:srgbClr val="FF0000"/>
                </a:solidFill>
              </a:rPr>
              <a:t>R$ 4.726,59</a:t>
            </a:r>
          </a:p>
        </xdr:txBody>
      </xdr:sp>
      <xdr:sp macro="" textlink="Resumo!E20">
        <xdr:nvSpPr>
          <xdr:cNvPr id="17" name="TxtVarSaidas">
            <a:extLst>
              <a:ext uri="{FF2B5EF4-FFF2-40B4-BE49-F238E27FC236}">
                <a16:creationId xmlns:a16="http://schemas.microsoft.com/office/drawing/2014/main" id="{5EF5BF69-6C78-4D84-3A9A-CFBFFA23D9E4}"/>
              </a:ext>
            </a:extLst>
          </xdr:cNvPr>
          <xdr:cNvSpPr txBox="1"/>
        </xdr:nvSpPr>
        <xdr:spPr>
          <a:xfrm>
            <a:off x="3590037" y="2043066"/>
            <a:ext cx="1154304" cy="3096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400" b="1">
              <a:solidFill>
                <a:srgbClr val="00B050"/>
              </a:solidFill>
            </a:endParaRPr>
          </a:p>
        </xdr:txBody>
      </xdr:sp>
      <xdr:sp macro="" textlink="">
        <xdr:nvSpPr>
          <xdr:cNvPr id="13" name="TxtMetaSaidas">
            <a:extLst>
              <a:ext uri="{FF2B5EF4-FFF2-40B4-BE49-F238E27FC236}">
                <a16:creationId xmlns:a16="http://schemas.microsoft.com/office/drawing/2014/main" id="{5E80F670-924A-C8D3-C010-6E9DE40A2BE8}"/>
              </a:ext>
            </a:extLst>
          </xdr:cNvPr>
          <xdr:cNvSpPr txBox="1"/>
        </xdr:nvSpPr>
        <xdr:spPr>
          <a:xfrm>
            <a:off x="3571875" y="2324100"/>
            <a:ext cx="134302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 b="1">
              <a:solidFill>
                <a:srgbClr val="5A5A5A"/>
              </a:solidFill>
            </a:endParaRPr>
          </a:p>
        </xdr:txBody>
      </xdr:sp>
      <xdr:pic>
        <xdr:nvPicPr>
          <xdr:cNvPr id="61" name="IconeSaidaOk" descr="Marca de seleção com preenchimento sólido" hidden="1">
            <a:extLst>
              <a:ext uri="{FF2B5EF4-FFF2-40B4-BE49-F238E27FC236}">
                <a16:creationId xmlns:a16="http://schemas.microsoft.com/office/drawing/2014/main" id="{C2C1F910-13FC-40D9-BB70-A131B99F64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457575" y="2381586"/>
            <a:ext cx="171450" cy="171450"/>
          </a:xfrm>
          <a:prstGeom prst="rect">
            <a:avLst/>
          </a:prstGeom>
        </xdr:spPr>
      </xdr:pic>
      <xdr:pic>
        <xdr:nvPicPr>
          <xdr:cNvPr id="62" name="IconeSaidaX" descr="Fechar com preenchimento sólido" hidden="1">
            <a:extLst>
              <a:ext uri="{FF2B5EF4-FFF2-40B4-BE49-F238E27FC236}">
                <a16:creationId xmlns:a16="http://schemas.microsoft.com/office/drawing/2014/main" id="{FE87AA27-5E16-43EF-96D4-1873454492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45650" y="2380911"/>
            <a:ext cx="172800" cy="1728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598700</xdr:colOff>
      <xdr:row>7</xdr:row>
      <xdr:rowOff>29888</xdr:rowOff>
    </xdr:from>
    <xdr:to>
      <xdr:col>13</xdr:col>
      <xdr:colOff>208700</xdr:colOff>
      <xdr:row>14</xdr:row>
      <xdr:rowOff>41626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96395B13-98CC-1C0B-1B4F-D801E01542D9}"/>
            </a:ext>
          </a:extLst>
        </xdr:cNvPr>
        <xdr:cNvGrpSpPr/>
      </xdr:nvGrpSpPr>
      <xdr:grpSpPr>
        <a:xfrm>
          <a:off x="6085100" y="1363388"/>
          <a:ext cx="2048400" cy="1345238"/>
          <a:chOff x="6085100" y="1363388"/>
          <a:chExt cx="2048400" cy="1345238"/>
        </a:xfrm>
      </xdr:grpSpPr>
      <xdr:sp macro="" textlink="">
        <xdr:nvSpPr>
          <xdr:cNvPr id="20" name="CardEntradas">
            <a:extLst>
              <a:ext uri="{FF2B5EF4-FFF2-40B4-BE49-F238E27FC236}">
                <a16:creationId xmlns:a16="http://schemas.microsoft.com/office/drawing/2014/main" id="{E7F43B50-8424-1194-F96F-F195FEFA8D61}"/>
              </a:ext>
            </a:extLst>
          </xdr:cNvPr>
          <xdr:cNvSpPr/>
        </xdr:nvSpPr>
        <xdr:spPr>
          <a:xfrm>
            <a:off x="6085929" y="1371957"/>
            <a:ext cx="2046946" cy="1336669"/>
          </a:xfrm>
          <a:prstGeom prst="roundRect">
            <a:avLst/>
          </a:prstGeom>
          <a:solidFill>
            <a:schemeClr val="bg1"/>
          </a:solidFill>
          <a:ln w="317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31750" cap="flat" cmpd="sng" algn="ctr">
                <a:solidFill>
                  <a:srgbClr val="FF0000"/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 b="1">
              <a:solidFill>
                <a:srgbClr val="00B050"/>
              </a:solidFill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F5F2DEB-D5A7-E5EF-E21E-9E771DA7FB57}"/>
              </a:ext>
            </a:extLst>
          </xdr:cNvPr>
          <xdr:cNvSpPr/>
        </xdr:nvSpPr>
        <xdr:spPr>
          <a:xfrm>
            <a:off x="6085100" y="1523331"/>
            <a:ext cx="2048400" cy="154945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3F541EC7-3594-A2EB-08E3-EEF475EF4105}"/>
              </a:ext>
            </a:extLst>
          </xdr:cNvPr>
          <xdr:cNvSpPr/>
        </xdr:nvSpPr>
        <xdr:spPr>
          <a:xfrm>
            <a:off x="6086128" y="1363388"/>
            <a:ext cx="2046216" cy="312032"/>
          </a:xfrm>
          <a:prstGeom prst="roundRect">
            <a:avLst>
              <a:gd name="adj" fmla="val 50000"/>
            </a:avLst>
          </a:prstGeom>
          <a:solidFill>
            <a:schemeClr val="tx2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/>
              <a:t>Total</a:t>
            </a:r>
            <a:r>
              <a:rPr lang="pt-BR" sz="2000" b="1" baseline="0"/>
              <a:t> Entrada</a:t>
            </a:r>
            <a:endParaRPr lang="pt-BR" sz="2000" b="1"/>
          </a:p>
        </xdr:txBody>
      </xdr:sp>
      <xdr:sp macro="" textlink="">
        <xdr:nvSpPr>
          <xdr:cNvPr id="6" name="TxtEntradas">
            <a:extLst>
              <a:ext uri="{FF2B5EF4-FFF2-40B4-BE49-F238E27FC236}">
                <a16:creationId xmlns:a16="http://schemas.microsoft.com/office/drawing/2014/main" id="{615F877A-18EA-AAFD-3494-5BF52A806705}"/>
              </a:ext>
            </a:extLst>
          </xdr:cNvPr>
          <xdr:cNvSpPr txBox="1"/>
        </xdr:nvSpPr>
        <xdr:spPr>
          <a:xfrm>
            <a:off x="6225849" y="1690329"/>
            <a:ext cx="1729006" cy="3951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1">
                <a:solidFill>
                  <a:srgbClr val="00B050"/>
                </a:solidFill>
                <a:latin typeface="+mn-lt"/>
                <a:ea typeface="+mn-ea"/>
                <a:cs typeface="+mn-cs"/>
              </a:rPr>
              <a:t>R$ 11.000,00</a:t>
            </a:r>
          </a:p>
        </xdr:txBody>
      </xdr:sp>
      <xdr:sp macro="" textlink="">
        <xdr:nvSpPr>
          <xdr:cNvPr id="32" name="TxtVarEntradas">
            <a:extLst>
              <a:ext uri="{FF2B5EF4-FFF2-40B4-BE49-F238E27FC236}">
                <a16:creationId xmlns:a16="http://schemas.microsoft.com/office/drawing/2014/main" id="{26BB0EDC-0837-A09B-D7F9-F1F1D808E19D}"/>
              </a:ext>
            </a:extLst>
          </xdr:cNvPr>
          <xdr:cNvSpPr txBox="1"/>
        </xdr:nvSpPr>
        <xdr:spPr>
          <a:xfrm>
            <a:off x="6515966" y="2062116"/>
            <a:ext cx="1148773" cy="27150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400" b="1">
              <a:solidFill>
                <a:srgbClr val="FF0000"/>
              </a:solidFill>
            </a:endParaRPr>
          </a:p>
        </xdr:txBody>
      </xdr:sp>
      <xdr:sp macro="" textlink="">
        <xdr:nvSpPr>
          <xdr:cNvPr id="34" name="TxtMetaEntradas">
            <a:extLst>
              <a:ext uri="{FF2B5EF4-FFF2-40B4-BE49-F238E27FC236}">
                <a16:creationId xmlns:a16="http://schemas.microsoft.com/office/drawing/2014/main" id="{FE730FEC-36CC-8C5B-3F65-EFCFA4E9F07C}"/>
              </a:ext>
            </a:extLst>
          </xdr:cNvPr>
          <xdr:cNvSpPr txBox="1"/>
        </xdr:nvSpPr>
        <xdr:spPr>
          <a:xfrm>
            <a:off x="6492153" y="2333625"/>
            <a:ext cx="123449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 b="1">
              <a:solidFill>
                <a:srgbClr val="5A5A5A"/>
              </a:solidFill>
            </a:endParaRPr>
          </a:p>
        </xdr:txBody>
      </xdr:sp>
      <xdr:pic>
        <xdr:nvPicPr>
          <xdr:cNvPr id="65" name="IconeEntradaOk" descr="Marca de seleção com preenchimento sólido" hidden="1">
            <a:extLst>
              <a:ext uri="{FF2B5EF4-FFF2-40B4-BE49-F238E27FC236}">
                <a16:creationId xmlns:a16="http://schemas.microsoft.com/office/drawing/2014/main" id="{FF45FE83-DFD8-24C2-CFAD-C40EED2FDC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353175" y="2381586"/>
            <a:ext cx="171450" cy="171450"/>
          </a:xfrm>
          <a:prstGeom prst="rect">
            <a:avLst/>
          </a:prstGeom>
        </xdr:spPr>
      </xdr:pic>
      <xdr:pic>
        <xdr:nvPicPr>
          <xdr:cNvPr id="66" name="IconeEntradaX" descr="Fechar com preenchimento sólido" hidden="1">
            <a:extLst>
              <a:ext uri="{FF2B5EF4-FFF2-40B4-BE49-F238E27FC236}">
                <a16:creationId xmlns:a16="http://schemas.microsoft.com/office/drawing/2014/main" id="{BCD029EE-016D-018B-F11E-95465F49A4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369825" y="2380911"/>
            <a:ext cx="172800" cy="1728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490671</xdr:colOff>
      <xdr:row>7</xdr:row>
      <xdr:rowOff>29888</xdr:rowOff>
    </xdr:from>
    <xdr:to>
      <xdr:col>19</xdr:col>
      <xdr:colOff>324478</xdr:colOff>
      <xdr:row>14</xdr:row>
      <xdr:rowOff>41626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F0C6D2CE-A3E3-6561-64E4-368A9B381CCF}"/>
            </a:ext>
          </a:extLst>
        </xdr:cNvPr>
        <xdr:cNvGrpSpPr/>
      </xdr:nvGrpSpPr>
      <xdr:grpSpPr>
        <a:xfrm>
          <a:off x="9025071" y="1363388"/>
          <a:ext cx="2881807" cy="1345238"/>
          <a:chOff x="9025071" y="1363388"/>
          <a:chExt cx="2881807" cy="1345238"/>
        </a:xfrm>
      </xdr:grpSpPr>
      <xdr:sp macro="" textlink="">
        <xdr:nvSpPr>
          <xdr:cNvPr id="44" name="CardEconomia">
            <a:extLst>
              <a:ext uri="{FF2B5EF4-FFF2-40B4-BE49-F238E27FC236}">
                <a16:creationId xmlns:a16="http://schemas.microsoft.com/office/drawing/2014/main" id="{FDF03F41-2A1F-F7A2-CC31-27637C0AAF46}"/>
              </a:ext>
            </a:extLst>
          </xdr:cNvPr>
          <xdr:cNvSpPr/>
        </xdr:nvSpPr>
        <xdr:spPr>
          <a:xfrm>
            <a:off x="9026237" y="1371957"/>
            <a:ext cx="2879760" cy="1336669"/>
          </a:xfrm>
          <a:prstGeom prst="roundRect">
            <a:avLst/>
          </a:prstGeom>
          <a:solidFill>
            <a:schemeClr val="bg1"/>
          </a:solidFill>
          <a:ln w="317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31750" cap="flat" cmpd="sng" algn="ctr">
                <a:solidFill>
                  <a:srgbClr val="FF0000"/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800" b="1" i="0" u="none" strike="noStrike">
              <a:solidFill>
                <a:srgbClr val="00B050"/>
              </a:solidFill>
              <a:latin typeface="Aptos Narrow"/>
            </a:endParaRPr>
          </a:p>
        </xdr:txBody>
      </xdr:sp>
      <xdr:sp macro="" textlink="">
        <xdr:nvSpPr>
          <xdr:cNvPr id="45" name="Retângulo 44">
            <a:extLst>
              <a:ext uri="{FF2B5EF4-FFF2-40B4-BE49-F238E27FC236}">
                <a16:creationId xmlns:a16="http://schemas.microsoft.com/office/drawing/2014/main" id="{C6A44B1F-D562-3559-A193-9268925AB316}"/>
              </a:ext>
            </a:extLst>
          </xdr:cNvPr>
          <xdr:cNvSpPr/>
        </xdr:nvSpPr>
        <xdr:spPr>
          <a:xfrm>
            <a:off x="9025071" y="1523331"/>
            <a:ext cx="2881807" cy="154945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17862DB4-046E-B5E0-335F-4FC746236645}"/>
              </a:ext>
            </a:extLst>
          </xdr:cNvPr>
          <xdr:cNvSpPr/>
        </xdr:nvSpPr>
        <xdr:spPr>
          <a:xfrm>
            <a:off x="9026517" y="1363388"/>
            <a:ext cx="2878734" cy="312032"/>
          </a:xfrm>
          <a:prstGeom prst="roundRect">
            <a:avLst>
              <a:gd name="adj" fmla="val 50000"/>
            </a:avLst>
          </a:prstGeom>
          <a:solidFill>
            <a:schemeClr val="tx2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/>
              <a:t>Economia</a:t>
            </a:r>
            <a:r>
              <a:rPr lang="pt-BR" sz="2000" b="1" baseline="0"/>
              <a:t> Mensal em %</a:t>
            </a:r>
            <a:endParaRPr lang="pt-BR" sz="2000" b="1"/>
          </a:p>
        </xdr:txBody>
      </xdr:sp>
      <xdr:sp macro="" textlink="Resumo!D22">
        <xdr:nvSpPr>
          <xdr:cNvPr id="9" name="TxtTaxaEconom">
            <a:extLst>
              <a:ext uri="{FF2B5EF4-FFF2-40B4-BE49-F238E27FC236}">
                <a16:creationId xmlns:a16="http://schemas.microsoft.com/office/drawing/2014/main" id="{C0303517-910D-D27A-48D9-92F16C0DFA56}"/>
              </a:ext>
            </a:extLst>
          </xdr:cNvPr>
          <xdr:cNvSpPr txBox="1"/>
        </xdr:nvSpPr>
        <xdr:spPr>
          <a:xfrm>
            <a:off x="9908021" y="1725981"/>
            <a:ext cx="1079961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rgbClr val="00B050"/>
                </a:solidFill>
                <a:latin typeface="Aptos Narrow"/>
              </a:rPr>
              <a:t>50,09%</a:t>
            </a:r>
            <a:endParaRPr lang="pt-BR" sz="1800">
              <a:solidFill>
                <a:srgbClr val="00B050"/>
              </a:solidFill>
            </a:endParaRPr>
          </a:p>
        </xdr:txBody>
      </xdr:sp>
      <xdr:sp macro="" textlink="Resumo!D24">
        <xdr:nvSpPr>
          <xdr:cNvPr id="14" name="TxtVarEconom">
            <a:extLst>
              <a:ext uri="{FF2B5EF4-FFF2-40B4-BE49-F238E27FC236}">
                <a16:creationId xmlns:a16="http://schemas.microsoft.com/office/drawing/2014/main" id="{94A110D7-0A39-D7BA-858B-3BE5B2855D16}"/>
              </a:ext>
            </a:extLst>
          </xdr:cNvPr>
          <xdr:cNvSpPr txBox="1"/>
        </xdr:nvSpPr>
        <xdr:spPr>
          <a:xfrm>
            <a:off x="9892666" y="2069283"/>
            <a:ext cx="111067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400" b="1">
              <a:solidFill>
                <a:srgbClr val="00B050"/>
              </a:solidFill>
            </a:endParaRPr>
          </a:p>
        </xdr:txBody>
      </xdr:sp>
      <xdr:sp macro="" textlink="">
        <xdr:nvSpPr>
          <xdr:cNvPr id="43" name="TxtMetaEconomia">
            <a:extLst>
              <a:ext uri="{FF2B5EF4-FFF2-40B4-BE49-F238E27FC236}">
                <a16:creationId xmlns:a16="http://schemas.microsoft.com/office/drawing/2014/main" id="{E0BCA60B-E0EE-27A3-A318-319F4FA2579C}"/>
              </a:ext>
            </a:extLst>
          </xdr:cNvPr>
          <xdr:cNvSpPr txBox="1"/>
        </xdr:nvSpPr>
        <xdr:spPr>
          <a:xfrm>
            <a:off x="9957464" y="2333625"/>
            <a:ext cx="1205836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 b="1">
              <a:solidFill>
                <a:srgbClr val="5A5A5A"/>
              </a:solidFill>
            </a:endParaRPr>
          </a:p>
        </xdr:txBody>
      </xdr:sp>
      <xdr:pic>
        <xdr:nvPicPr>
          <xdr:cNvPr id="67" name="IconeEconomiaOk" descr="Marca de seleção com preenchimento sólido" hidden="1">
            <a:extLst>
              <a:ext uri="{FF2B5EF4-FFF2-40B4-BE49-F238E27FC236}">
                <a16:creationId xmlns:a16="http://schemas.microsoft.com/office/drawing/2014/main" id="{87DABD02-F312-8AF0-7429-F9B0002F71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839325" y="2381586"/>
            <a:ext cx="171450" cy="171450"/>
          </a:xfrm>
          <a:prstGeom prst="rect">
            <a:avLst/>
          </a:prstGeom>
        </xdr:spPr>
      </xdr:pic>
      <xdr:pic>
        <xdr:nvPicPr>
          <xdr:cNvPr id="69" name="IconeEconomiaX" descr="Fechar com preenchimento sólido" hidden="1">
            <a:extLst>
              <a:ext uri="{FF2B5EF4-FFF2-40B4-BE49-F238E27FC236}">
                <a16:creationId xmlns:a16="http://schemas.microsoft.com/office/drawing/2014/main" id="{0AAF727F-95DB-E625-9019-F700C74CE5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9827400" y="2380911"/>
            <a:ext cx="172800" cy="172800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606449</xdr:colOff>
      <xdr:row>7</xdr:row>
      <xdr:rowOff>29795</xdr:rowOff>
    </xdr:from>
    <xdr:to>
      <xdr:col>24</xdr:col>
      <xdr:colOff>216449</xdr:colOff>
      <xdr:row>14</xdr:row>
      <xdr:rowOff>41720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341FE077-AE99-D778-90A6-B29FFA78CE95}"/>
            </a:ext>
          </a:extLst>
        </xdr:cNvPr>
        <xdr:cNvGrpSpPr/>
      </xdr:nvGrpSpPr>
      <xdr:grpSpPr>
        <a:xfrm>
          <a:off x="12798449" y="1363295"/>
          <a:ext cx="2048400" cy="1345425"/>
          <a:chOff x="12798449" y="1363295"/>
          <a:chExt cx="2048400" cy="1345425"/>
        </a:xfrm>
      </xdr:grpSpPr>
      <xdr:sp macro="" textlink="">
        <xdr:nvSpPr>
          <xdr:cNvPr id="37" name="CardBalanco">
            <a:extLst>
              <a:ext uri="{FF2B5EF4-FFF2-40B4-BE49-F238E27FC236}">
                <a16:creationId xmlns:a16="http://schemas.microsoft.com/office/drawing/2014/main" id="{CD5993A8-0FF1-1626-CB9D-BF91F5FC54D1}"/>
              </a:ext>
            </a:extLst>
          </xdr:cNvPr>
          <xdr:cNvSpPr/>
        </xdr:nvSpPr>
        <xdr:spPr>
          <a:xfrm>
            <a:off x="12799278" y="1371865"/>
            <a:ext cx="2046945" cy="1336855"/>
          </a:xfrm>
          <a:prstGeom prst="roundRect">
            <a:avLst/>
          </a:prstGeom>
          <a:solidFill>
            <a:sysClr val="window" lastClr="FFFFFF"/>
          </a:solidFill>
          <a:ln w="317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31750" cap="flat" cmpd="sng" algn="ctr">
                <a:solidFill>
                  <a:srgbClr val="FF0000"/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 b="1">
              <a:solidFill>
                <a:schemeClr val="bg1"/>
              </a:solidFill>
            </a:endParaRPr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2850B6D3-7EDA-88E5-D117-8A4C4AF43DFD}"/>
              </a:ext>
            </a:extLst>
          </xdr:cNvPr>
          <xdr:cNvSpPr/>
        </xdr:nvSpPr>
        <xdr:spPr>
          <a:xfrm>
            <a:off x="12798449" y="1523260"/>
            <a:ext cx="2048400" cy="154967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1"/>
              </a:solidFill>
            </a:endParaRPr>
          </a:p>
        </xdr:txBody>
      </xdr:sp>
      <xdr:sp macro="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133550A7-6933-E1C5-B905-CBB0849B0D51}"/>
              </a:ext>
            </a:extLst>
          </xdr:cNvPr>
          <xdr:cNvSpPr/>
        </xdr:nvSpPr>
        <xdr:spPr>
          <a:xfrm>
            <a:off x="12799477" y="1363295"/>
            <a:ext cx="2046216" cy="312075"/>
          </a:xfrm>
          <a:prstGeom prst="roundRect">
            <a:avLst>
              <a:gd name="adj" fmla="val 50000"/>
            </a:avLst>
          </a:prstGeom>
          <a:solidFill>
            <a:schemeClr val="tx2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solidFill>
                  <a:schemeClr val="bg1"/>
                </a:solidFill>
              </a:rPr>
              <a:t>Balanço</a:t>
            </a:r>
            <a:r>
              <a:rPr lang="pt-BR" sz="2000" b="1" baseline="0">
                <a:solidFill>
                  <a:schemeClr val="bg1"/>
                </a:solidFill>
              </a:rPr>
              <a:t> Mensal</a:t>
            </a:r>
            <a:endParaRPr lang="pt-BR" sz="2000" b="1">
              <a:solidFill>
                <a:schemeClr val="bg1"/>
              </a:solidFill>
            </a:endParaRPr>
          </a:p>
        </xdr:txBody>
      </xdr:sp>
      <xdr:sp macro="" textlink="">
        <xdr:nvSpPr>
          <xdr:cNvPr id="41" name="TxtBalancoMensal">
            <a:extLst>
              <a:ext uri="{FF2B5EF4-FFF2-40B4-BE49-F238E27FC236}">
                <a16:creationId xmlns:a16="http://schemas.microsoft.com/office/drawing/2014/main" id="{F11CF3A2-4684-7B4C-25B7-300FB4D2BB93}"/>
              </a:ext>
            </a:extLst>
          </xdr:cNvPr>
          <xdr:cNvSpPr txBox="1"/>
        </xdr:nvSpPr>
        <xdr:spPr>
          <a:xfrm>
            <a:off x="12915975" y="1690302"/>
            <a:ext cx="1813551" cy="3952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>
                <a:solidFill>
                  <a:srgbClr val="00B050"/>
                </a:solidFill>
              </a:rPr>
              <a:t>R$ 5.510,38</a:t>
            </a:r>
          </a:p>
        </xdr:txBody>
      </xdr:sp>
      <xdr:sp macro="" textlink="">
        <xdr:nvSpPr>
          <xdr:cNvPr id="42" name="TxtVarBalancoMensal">
            <a:extLst>
              <a:ext uri="{FF2B5EF4-FFF2-40B4-BE49-F238E27FC236}">
                <a16:creationId xmlns:a16="http://schemas.microsoft.com/office/drawing/2014/main" id="{4414B3BA-AD21-F707-CC62-A272C9783B40}"/>
              </a:ext>
            </a:extLst>
          </xdr:cNvPr>
          <xdr:cNvSpPr txBox="1"/>
        </xdr:nvSpPr>
        <xdr:spPr>
          <a:xfrm>
            <a:off x="13141713" y="2045470"/>
            <a:ext cx="1362074" cy="3048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400" b="1">
              <a:solidFill>
                <a:srgbClr val="00B050"/>
              </a:solidFill>
            </a:endParaRPr>
          </a:p>
        </xdr:txBody>
      </xdr:sp>
      <xdr:sp macro="" textlink="">
        <xdr:nvSpPr>
          <xdr:cNvPr id="50" name="TxtMetaBalanco">
            <a:extLst>
              <a:ext uri="{FF2B5EF4-FFF2-40B4-BE49-F238E27FC236}">
                <a16:creationId xmlns:a16="http://schemas.microsoft.com/office/drawing/2014/main" id="{55C19424-82AA-25DF-09E9-E1CB16436223}"/>
              </a:ext>
            </a:extLst>
          </xdr:cNvPr>
          <xdr:cNvSpPr txBox="1"/>
        </xdr:nvSpPr>
        <xdr:spPr>
          <a:xfrm>
            <a:off x="13213150" y="2333625"/>
            <a:ext cx="1322000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 b="1">
              <a:solidFill>
                <a:srgbClr val="5A5A5A"/>
              </a:solidFill>
            </a:endParaRPr>
          </a:p>
        </xdr:txBody>
      </xdr:sp>
      <xdr:pic>
        <xdr:nvPicPr>
          <xdr:cNvPr id="70" name="IconeBalancoOk" descr="Marca de seleção com preenchimento sólido" hidden="1">
            <a:extLst>
              <a:ext uri="{FF2B5EF4-FFF2-40B4-BE49-F238E27FC236}">
                <a16:creationId xmlns:a16="http://schemas.microsoft.com/office/drawing/2014/main" id="{49DA95FF-28E1-A569-FEC5-047A750069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096875" y="2381586"/>
            <a:ext cx="171450" cy="171450"/>
          </a:xfrm>
          <a:prstGeom prst="rect">
            <a:avLst/>
          </a:prstGeom>
        </xdr:spPr>
      </xdr:pic>
      <xdr:pic>
        <xdr:nvPicPr>
          <xdr:cNvPr id="71" name="IconeBalancoX" descr="Fechar com preenchimento sólido" hidden="1">
            <a:extLst>
              <a:ext uri="{FF2B5EF4-FFF2-40B4-BE49-F238E27FC236}">
                <a16:creationId xmlns:a16="http://schemas.microsoft.com/office/drawing/2014/main" id="{C4186EA2-A695-0EE9-526A-9EEC41EBAD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084950" y="2380911"/>
            <a:ext cx="172800" cy="1728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200026</xdr:colOff>
      <xdr:row>2</xdr:row>
      <xdr:rowOff>60103</xdr:rowOff>
    </xdr:from>
    <xdr:to>
      <xdr:col>11</xdr:col>
      <xdr:colOff>161926</xdr:colOff>
      <xdr:row>5</xdr:row>
      <xdr:rowOff>152400</xdr:rowOff>
    </xdr:to>
    <xdr:sp macro="" textlink="">
      <xdr:nvSpPr>
        <xdr:cNvPr id="90" name="TxtAlertaKPI">
          <a:extLst>
            <a:ext uri="{FF2B5EF4-FFF2-40B4-BE49-F238E27FC236}">
              <a16:creationId xmlns:a16="http://schemas.microsoft.com/office/drawing/2014/main" id="{82D56668-64B7-DD04-8AA8-7C74C272B227}"/>
            </a:ext>
          </a:extLst>
        </xdr:cNvPr>
        <xdr:cNvSpPr txBox="1"/>
      </xdr:nvSpPr>
      <xdr:spPr>
        <a:xfrm>
          <a:off x="200026" y="441103"/>
          <a:ext cx="6667500" cy="6637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787878"/>
              </a:solidFill>
            </a:rPr>
            <a:t>Modo acumulado: os indicadores representam o total do período selecionado.</a:t>
          </a:r>
        </a:p>
      </xdr:txBody>
    </xdr:sp>
    <xdr:clientData/>
  </xdr:twoCellAnchor>
  <xdr:twoCellAnchor editAs="absolute">
    <xdr:from>
      <xdr:col>0</xdr:col>
      <xdr:colOff>200024</xdr:colOff>
      <xdr:row>4</xdr:row>
      <xdr:rowOff>102060</xdr:rowOff>
    </xdr:from>
    <xdr:to>
      <xdr:col>10</xdr:col>
      <xdr:colOff>209549</xdr:colOff>
      <xdr:row>6</xdr:row>
      <xdr:rowOff>8620</xdr:rowOff>
    </xdr:to>
    <xdr:sp macro="" textlink="">
      <xdr:nvSpPr>
        <xdr:cNvPr id="91" name="TxtInsightResumo">
          <a:extLst>
            <a:ext uri="{FF2B5EF4-FFF2-40B4-BE49-F238E27FC236}">
              <a16:creationId xmlns:a16="http://schemas.microsoft.com/office/drawing/2014/main" id="{0D3153D6-A7EC-BEB5-B288-85C7F0665C81}"/>
            </a:ext>
          </a:extLst>
        </xdr:cNvPr>
        <xdr:cNvSpPr txBox="1"/>
      </xdr:nvSpPr>
      <xdr:spPr>
        <a:xfrm>
          <a:off x="200024" y="864060"/>
          <a:ext cx="6105525" cy="287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rgbClr val="5A5A5A"/>
              </a:solidFill>
            </a:rPr>
            <a:t>Cartão foi a principal categoria de gasto, representando 40% das saídas no período.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8.881711805552" backgroundQuery="1" createdVersion="8" refreshedVersion="8" minRefreshableVersion="3" recordCount="0" supportSubquery="1" supportAdvancedDrill="1" xr:uid="{B8FFCFF7-3E14-405B-BCB1-36229DE9E0DE}">
  <cacheSource type="external" connectionId="3"/>
  <cacheFields count="3">
    <cacheField name="[Measures].[Total Entradas]" caption="Total Entradas" numFmtId="0" hierarchy="34" level="32767"/>
    <cacheField name="[Measures].[Total Saidas]" caption="Total Saidas" numFmtId="0" hierarchy="35" level="32767"/>
    <cacheField name="[dCalendario].[AnoMesMaiusc].[AnoMesMaiusc]" caption="AnoMesMaiusc" numFmtId="0" hierarchy="27" level="1">
      <sharedItems count="4">
        <s v="Janeiro/2026"/>
        <s v="Fevereiro/2026"/>
        <s v="Março/2026"/>
        <s v="Abril/2026"/>
      </sharedItems>
      <extLst>
        <ext xmlns:x15="http://schemas.microsoft.com/office/spreadsheetml/2010/11/main" uri="{4F2E5C28-24EA-4eb8-9CBF-B6C8F9C3D259}">
          <x15:cachedUniqueNames>
            <x15:cachedUniqueName index="0" name="[dCalendario].[AnoMesMaiusc].&amp;[Janeiro/2026]"/>
            <x15:cachedUniqueName index="1" name="[dCalendario].[AnoMesMaiusc].&amp;[Fevereiro/2026]"/>
            <x15:cachedUniqueName index="2" name="[dCalendario].[AnoMesMaiusc].&amp;[Março/2026]"/>
            <x15:cachedUniqueName index="3" name="[dCalendario].[AnoMesMaiusc].&amp;[Abril/2026]"/>
          </x15:cachedUniqueNames>
        </ext>
      </extLst>
    </cacheField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130" unbalanced="0"/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0" memberValueDatatype="130" unbalanced="0"/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2" memberValueDatatype="130" unbalanced="0">
      <fieldsUsage count="2">
        <fieldUsage x="-1"/>
        <fieldUsage x="2"/>
      </fieldsUsage>
    </cacheHierarchy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 oneField="1">
      <fieldsUsage count="1">
        <fieldUsage x="0"/>
      </fieldsUsage>
    </cacheHierarchy>
    <cacheHierarchy uniqueName="[Measures].[Total Saidas]" caption="Total Saidas" measure="1" displayFolder="" measureGroup="ContaCorrente_" count="0" oneField="1">
      <fieldsUsage count="1">
        <fieldUsage x="1"/>
      </fieldsUsage>
    </cacheHierarchy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8.881712847222" backgroundQuery="1" createdVersion="8" refreshedVersion="8" minRefreshableVersion="3" recordCount="0" supportSubquery="1" supportAdvancedDrill="1" xr:uid="{9214849C-7735-4A81-8F02-7C79AEAF7B6F}">
  <cacheSource type="external" connectionId="3"/>
  <cacheFields count="2">
    <cacheField name="[dCalendario].[AnoMesSegmen].[AnoMesSegmen]" caption="AnoMesSegmen" numFmtId="0" hierarchy="25" level="1">
      <sharedItems containsSemiMixedTypes="0" containsNonDate="0" containsString="0"/>
    </cacheField>
    <cacheField name="[Measures].[Total Movimentado]" caption="Total Movimentado" numFmtId="0" hierarchy="33" level="32767"/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130" unbalanced="0"/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 oneField="1">
      <fieldsUsage count="1">
        <fieldUsage x="1"/>
      </fieldsUsage>
    </cacheHierarchy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8.881713773146" backgroundQuery="1" createdVersion="8" refreshedVersion="8" minRefreshableVersion="3" recordCount="0" supportSubquery="1" supportAdvancedDrill="1" xr:uid="{31A5DDC8-243B-4B54-B034-6D05B60CA9B1}">
  <cacheSource type="external" connectionId="3"/>
  <cacheFields count="2">
    <cacheField name="[dCalendario].[AnoMesSegmen].[AnoMesSegmen]" caption="AnoMesSegmen" numFmtId="0" hierarchy="25" level="1">
      <sharedItems containsSemiMixedTypes="0" containsNonDate="0" containsString="0"/>
    </cacheField>
    <cacheField name="[Measures].[Saldo Atual]" caption="Saldo Atual" numFmtId="0" hierarchy="51" level="32767"/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130" unbalanced="0"/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 oneField="1">
      <fieldsUsage count="1">
        <fieldUsage x="1"/>
      </fieldsUsage>
    </cacheHierarchy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4236112" backgroundQuery="1" createdVersion="8" refreshedVersion="8" minRefreshableVersion="3" recordCount="0" supportSubquery="1" supportAdvancedDrill="1" xr:uid="{D120F41C-853F-40D1-8E62-AB0644E3849A}">
  <cacheSource type="external" connectionId="3"/>
  <cacheFields count="3">
    <cacheField name="[Measures].[Total Gasto Cartao Credito]" caption="Total Gasto Cartao Credito" numFmtId="0" hierarchy="36" level="32767"/>
    <cacheField name="[dCalendario].[AnoMesSegmen].[AnoMesSegmen]" caption="AnoMesSegmen" numFmtId="0" hierarchy="25" level="1">
      <sharedItems containsSemiMixedTypes="0" containsNonDate="0" containsString="0"/>
    </cacheField>
    <cacheField name="[dCalendario].[Mês].[Mês]" caption="Mês" numFmtId="0" hierarchy="21" level="1">
      <sharedItems containsSemiMixedTypes="0" containsNonDate="0" containsString="0"/>
    </cacheField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2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1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 oneField="1">
      <fieldsUsage count="1">
        <fieldUsage x="0"/>
      </fieldsUsage>
    </cacheHierarchy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4699074" backgroundQuery="1" createdVersion="8" refreshedVersion="8" minRefreshableVersion="3" recordCount="0" supportSubquery="1" supportAdvancedDrill="1" xr:uid="{0A65617A-468C-4B03-8F85-806713A21F8F}">
  <cacheSource type="external" connectionId="3"/>
  <cacheFields count="3">
    <cacheField name="[Measures].[Total Gasto Cartao Credito]" caption="Total Gasto Cartao Credito" numFmtId="0" hierarchy="36" level="32767"/>
    <cacheField name="[dCalendario].[AnoMesSegmen].[AnoMesSegmen]" caption="AnoMesSegmen" numFmtId="0" hierarchy="25" level="1">
      <sharedItems count="2">
        <s v="abril/2026"/>
        <s v="fevereiro/2026"/>
      </sharedItems>
      <extLst>
        <ext xmlns:x15="http://schemas.microsoft.com/office/spreadsheetml/2010/11/main" uri="{4F2E5C28-24EA-4eb8-9CBF-B6C8F9C3D259}">
          <x15:cachedUniqueNames>
            <x15:cachedUniqueName index="0" name="[dCalendario].[AnoMesSegmen].&amp;[abril/2026]"/>
            <x15:cachedUniqueName index="1" name="[dCalendario].[AnoMesSegmen].&amp;[fevereiro/2026]"/>
          </x15:cachedUniqueNames>
        </ext>
      </extLst>
    </cacheField>
    <cacheField name="[dCalendario].[Mês].[Mês]" caption="Mês" numFmtId="0" hierarchy="21" level="1">
      <sharedItems containsSemiMixedTypes="0" containsNonDate="0" containsString="0"/>
    </cacheField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2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1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 oneField="1">
      <fieldsUsage count="1">
        <fieldUsage x="0"/>
      </fieldsUsage>
    </cacheHierarchy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4699074" backgroundQuery="1" createdVersion="8" refreshedVersion="8" minRefreshableVersion="3" recordCount="0" supportSubquery="1" supportAdvancedDrill="1" xr:uid="{09835CAA-7CC8-47DD-837E-F1DEB2E70FAF}">
  <cacheSource type="external" connectionId="3"/>
  <cacheFields count="3">
    <cacheField name="[dCalendario].[AnoMesSegmen].[AnoMesSegmen]" caption="AnoMesSegmen" numFmtId="0" hierarchy="25" level="1">
      <sharedItems containsSemiMixedTypes="0" containsNonDate="0" containsString="0"/>
    </cacheField>
    <cacheField name="[Measures].[A Pagar Texto]" caption="A Pagar Texto" numFmtId="0" hierarchy="56" level="32767"/>
    <cacheField name="[dCalendario].[Mês].[Mês]" caption="Mês" numFmtId="0" hierarchy="21" level="1">
      <sharedItems containsSemiMixedTypes="0" containsNonDate="0" containsString="0"/>
    </cacheField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2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 oneField="1">
      <fieldsUsage count="1">
        <fieldUsage x="1"/>
      </fieldsUsage>
    </cacheHierarchy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5162036" backgroundQuery="1" createdVersion="8" refreshedVersion="8" minRefreshableVersion="3" recordCount="0" supportSubquery="1" supportAdvancedDrill="1" xr:uid="{8027D2A2-FA03-4A67-9342-978FA6B5B0D8}">
  <cacheSource type="external" connectionId="3"/>
  <cacheFields count="7">
    <cacheField name="[Measures].[Total Entradas]" caption="Total Entradas" numFmtId="0" hierarchy="34" level="32767"/>
    <cacheField name="[Measures].[Total Saidas]" caption="Total Saidas" numFmtId="0" hierarchy="35" level="32767"/>
    <cacheField name="[Measures].[Percent Parcelado]" caption="Percent Parcelado" numFmtId="0" hierarchy="41" level="32767"/>
    <cacheField name="[Measures].[Variacao Gastos Mensal ABS]" caption="Variacao Gastos Mensal ABS" numFmtId="0" hierarchy="47" level="32767"/>
    <cacheField name="[Measures].[Total Movimentado]" caption="Total Movimentado" numFmtId="0" hierarchy="33" level="32767"/>
    <cacheField name="[dCalendario].[AnoMesSegmen].[AnoMesSegmen]" caption="AnoMesSegmen" numFmtId="0" hierarchy="25" level="1">
      <sharedItems containsSemiMixedTypes="0" containsNonDate="0" containsString="0"/>
    </cacheField>
    <cacheField name="[dCalendario].[Mês].[Mês]" caption="Mês" numFmtId="0" hierarchy="21" level="1">
      <sharedItems containsSemiMixedTypes="0" containsNonDate="0" containsString="0"/>
    </cacheField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6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5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 oneField="1">
      <fieldsUsage count="1">
        <fieldUsage x="4"/>
      </fieldsUsage>
    </cacheHierarchy>
    <cacheHierarchy uniqueName="[Measures].[Total Entradas]" caption="Total Entradas" measure="1" displayFolder="" measureGroup="ContaCorrente_" count="0" oneField="1">
      <fieldsUsage count="1">
        <fieldUsage x="0"/>
      </fieldsUsage>
    </cacheHierarchy>
    <cacheHierarchy uniqueName="[Measures].[Total Saidas]" caption="Total Saidas" measure="1" displayFolder="" measureGroup="ContaCorrente_" count="0" oneField="1">
      <fieldsUsage count="1">
        <fieldUsage x="1"/>
      </fieldsUsage>
    </cacheHierarchy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 oneField="1">
      <fieldsUsage count="1">
        <fieldUsage x="2"/>
      </fieldsUsage>
    </cacheHierarchy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 oneField="1">
      <fieldsUsage count="1">
        <fieldUsage x="3"/>
      </fieldsUsage>
    </cacheHierarchy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5277774" backgroundQuery="1" createdVersion="8" refreshedVersion="8" minRefreshableVersion="3" recordCount="0" supportSubquery="1" supportAdvancedDrill="1" xr:uid="{36BC2972-57D4-4076-A4A5-DA6900514144}">
  <cacheSource type="external" connectionId="3"/>
  <cacheFields count="3">
    <cacheField name="[dCalendario].[AnoMesSegmen].[AnoMesSegmen]" caption="AnoMesSegmen" numFmtId="0" hierarchy="25" level="1">
      <sharedItems containsSemiMixedTypes="0" containsNonDate="0" containsString="0"/>
    </cacheField>
    <cacheField name="[Measures].[Categoria Top 1 Gasto Formatada]" caption="Categoria Top 1 Gasto Formatada" numFmtId="0" hierarchy="59" level="32767"/>
    <cacheField name="[dCalendario].[Mês].[Mês]" caption="Mês" numFmtId="0" hierarchy="21" level="1">
      <sharedItems containsSemiMixedTypes="0" containsNonDate="0" containsString="0"/>
    </cacheField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2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 oneField="1">
      <fieldsUsage count="1">
        <fieldUsage x="1"/>
      </fieldsUsage>
    </cacheHierarchy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5624998" backgroundQuery="1" createdVersion="8" refreshedVersion="8" minRefreshableVersion="3" recordCount="0" supportSubquery="1" supportAdvancedDrill="1" xr:uid="{D1285B8E-C436-42C8-A14B-102814976F69}">
  <cacheSource type="external" connectionId="3"/>
  <cacheFields count="6">
    <cacheField name="[ContaCorrente_].[Categoria].[Categoria]" caption="Categoria" numFmtId="0" hierarchy="6" level="1">
      <sharedItems count="7">
        <s v="Alimentação"/>
        <s v="Cartão"/>
        <s v="Lazer/Assinaturas"/>
        <s v="Moradia"/>
        <s v="Saque"/>
        <s v="Saúde"/>
        <s v="Transferências"/>
      </sharedItems>
      <extLst>
        <ext xmlns:x15="http://schemas.microsoft.com/office/spreadsheetml/2010/11/main" uri="{4F2E5C28-24EA-4eb8-9CBF-B6C8F9C3D259}">
          <x15:cachedUniqueNames>
            <x15:cachedUniqueName index="0" name="[ContaCorrente_].[Categoria].&amp;[Alimentação]"/>
            <x15:cachedUniqueName index="1" name="[ContaCorrente_].[Categoria].&amp;[Cartão]"/>
            <x15:cachedUniqueName index="2" name="[ContaCorrente_].[Categoria].&amp;[Lazer/Assinaturas]"/>
            <x15:cachedUniqueName index="3" name="[ContaCorrente_].[Categoria].&amp;[Moradia]"/>
            <x15:cachedUniqueName index="4" name="[ContaCorrente_].[Categoria].&amp;[Saque]"/>
            <x15:cachedUniqueName index="5" name="[ContaCorrente_].[Categoria].&amp;[Saúde]"/>
            <x15:cachedUniqueName index="6" name="[ContaCorrente_].[Categoria].&amp;[Transferências]"/>
          </x15:cachedUniqueNames>
        </ext>
      </extLst>
    </cacheField>
    <cacheField name="[Measures].[Valor Top 1]" caption="Valor Top 1" numFmtId="0" hierarchy="62" level="32767"/>
    <cacheField name="[Measures].[Valor Demais Categorias]" caption="Valor Demais Categorias" numFmtId="0" hierarchy="61" level="32767"/>
    <cacheField name="[Measures].[Total Saidas]" caption="Total Saidas" numFmtId="0" hierarchy="35" level="32767"/>
    <cacheField name="[dCalendario].[AnoMesSegmen].[AnoMesSegmen]" caption="AnoMesSegmen" numFmtId="0" hierarchy="25" level="1">
      <sharedItems containsSemiMixedTypes="0" containsNonDate="0" containsString="0"/>
    </cacheField>
    <cacheField name="[dCalendario].[Mês].[Mês]" caption="Mês" numFmtId="0" hierarchy="21" level="1">
      <sharedItems containsSemiMixedTypes="0" containsNonDate="0" containsString="0"/>
    </cacheField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2" memberValueDatatype="130" unbalanced="0">
      <fieldsUsage count="2">
        <fieldUsage x="-1"/>
        <fieldUsage x="0"/>
      </fieldsUsage>
    </cacheHierarchy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5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4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 oneField="1">
      <fieldsUsage count="1">
        <fieldUsage x="3"/>
      </fieldsUsage>
    </cacheHierarchy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 oneField="1">
      <fieldsUsage count="1">
        <fieldUsage x="2"/>
      </fieldsUsage>
    </cacheHierarchy>
    <cacheHierarchy uniqueName="[Measures].[Valor Top 1]" caption="Valor Top 1" measure="1" displayFolder="" measureGroup="ContaCorrente_" count="0" oneField="1">
      <fieldsUsage count="1">
        <fieldUsage x="1"/>
      </fieldsUsage>
    </cacheHierarchy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5624998" backgroundQuery="1" createdVersion="8" refreshedVersion="8" minRefreshableVersion="3" recordCount="0" supportSubquery="1" supportAdvancedDrill="1" xr:uid="{9D09CF93-5E52-458C-BDDB-7AE02CBBE462}">
  <cacheSource type="external" connectionId="3"/>
  <cacheFields count="3">
    <cacheField name="[dCalendario].[AnoMesSegmen].[AnoMesSegmen]" caption="AnoMesSegmen" numFmtId="0" hierarchy="25" level="1">
      <sharedItems containsSemiMixedTypes="0" containsNonDate="0" containsString="0"/>
    </cacheField>
    <cacheField name="[dCalendario].[Mês].[Mês]" caption="Mês" numFmtId="0" hierarchy="21" level="1">
      <sharedItems containsSemiMixedTypes="0" containsNonDate="0" containsString="0"/>
    </cacheField>
    <cacheField name="[Measures].[Total Saidas Mes Anterior em %]" caption="Total Saidas Mes Anterior em %" numFmtId="0" hierarchy="66" level="32767"/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1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 oneField="1">
      <fieldsUsage count="1">
        <fieldUsage x="2"/>
      </fieldsUsage>
    </cacheHierarchy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608796" backgroundQuery="1" createdVersion="8" refreshedVersion="8" minRefreshableVersion="3" recordCount="0" supportSubquery="1" supportAdvancedDrill="1" xr:uid="{38998419-16F7-4ECC-8F14-B6339F57AA4D}">
  <cacheSource type="external" connectionId="3"/>
  <cacheFields count="2">
    <cacheField name="[dCalendario].[Mês].[Mês]" caption="Mês" numFmtId="0" hierarchy="21" level="1">
      <sharedItems containsSemiMixedTypes="0" containsNonDate="0" containsString="0"/>
    </cacheField>
    <cacheField name="[dCalendario].[AnoMesMaiusc].[AnoMesMaiusc]" caption="AnoMesMaiusc" numFmtId="0" hierarchy="27" level="1">
      <sharedItems count="2">
        <s v="Fevereiro/2026"/>
        <s v="Abril/2026"/>
      </sharedItems>
      <extLst>
        <ext xmlns:x15="http://schemas.microsoft.com/office/spreadsheetml/2010/11/main" uri="{4F2E5C28-24EA-4eb8-9CBF-B6C8F9C3D259}">
          <x15:cachedUniqueNames>
            <x15:cachedUniqueName index="0" name="[dCalendario].[AnoMesMaiusc].&amp;[Fevereiro/2026]"/>
            <x15:cachedUniqueName index="1" name="[dCalendario].[AnoMesMaiusc].&amp;[Abril/2026]"/>
          </x15:cachedUniqueNames>
        </ext>
      </extLst>
    </cacheField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0" memberValueDatatype="130" unbalanced="0"/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2" memberValueDatatype="130" unbalanced="0">
      <fieldsUsage count="2">
        <fieldUsage x="-1"/>
        <fieldUsage x="1"/>
      </fieldsUsage>
    </cacheHierarchy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6203706" backgroundQuery="1" createdVersion="8" refreshedVersion="8" minRefreshableVersion="3" recordCount="0" supportSubquery="1" supportAdvancedDrill="1" xr:uid="{BD35C8C5-ECCA-437C-8123-185D6C8A8B57}">
  <cacheSource type="external" connectionId="3"/>
  <cacheFields count="3">
    <cacheField name="[dCalendario].[AnoMesSegmen].[AnoMesSegmen]" caption="AnoMesSegmen" numFmtId="0" hierarchy="25" level="1">
      <sharedItems containsSemiMixedTypes="0" containsNonDate="0" containsString="0"/>
    </cacheField>
    <cacheField name="[dCalendario].[Mês].[Mês]" caption="Mês" numFmtId="0" hierarchy="21" level="1">
      <sharedItems containsSemiMixedTypes="0" containsNonDate="0" containsString="0"/>
    </cacheField>
    <cacheField name="[Measures].[Variacao Economia]" caption="Variacao Economia" numFmtId="0" hierarchy="64" level="32767"/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1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 oneField="1">
      <fieldsUsage count="1">
        <fieldUsage x="2"/>
      </fieldsUsage>
    </cacheHierarchy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6319444" backgroundQuery="1" createdVersion="8" refreshedVersion="8" minRefreshableVersion="3" recordCount="0" supportSubquery="1" supportAdvancedDrill="1" xr:uid="{62ADCDD4-CD69-4F55-B7C2-67C244896AC9}">
  <cacheSource type="external" connectionId="3"/>
  <cacheFields count="3">
    <cacheField name="[dCalendario].[AnoMesSegmen].[AnoMesSegmen]" caption="AnoMesSegmen" numFmtId="0" hierarchy="25" level="1">
      <sharedItems containsSemiMixedTypes="0" containsNonDate="0" containsString="0"/>
    </cacheField>
    <cacheField name="[dCalendario].[Mês].[Mês]" caption="Mês" numFmtId="0" hierarchy="21" level="1">
      <sharedItems containsSemiMixedTypes="0" containsNonDate="0" containsString="0"/>
    </cacheField>
    <cacheField name="[Measures].[% Economia]" caption="% Economia" numFmtId="0" hierarchy="54" level="32767"/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1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 oneField="1">
      <fieldsUsage count="1">
        <fieldUsage x="2"/>
      </fieldsUsage>
    </cacheHierarchy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6319444" backgroundQuery="1" createdVersion="8" refreshedVersion="8" minRefreshableVersion="3" recordCount="0" supportSubquery="1" supportAdvancedDrill="1" xr:uid="{F56E9152-B2C2-445D-89A7-2D3D3C9FE484}">
  <cacheSource type="external" connectionId="3"/>
  <cacheFields count="3">
    <cacheField name="[dCalendario].[AnoMesSegmen].[AnoMesSegmen]" caption="AnoMesSegmen" numFmtId="0" hierarchy="25" level="1">
      <sharedItems containsSemiMixedTypes="0" containsNonDate="0" containsString="0"/>
    </cacheField>
    <cacheField name="[dCalendario].[Mês].[Mês]" caption="Mês" numFmtId="0" hierarchy="21" level="1">
      <sharedItems containsSemiMixedTypes="0" containsNonDate="0" containsString="0"/>
    </cacheField>
    <cacheField name="[Measures].[Total Entradas Mes Anterior em %]" caption="Total Entradas Mes Anterior em %" numFmtId="0" hierarchy="67" level="32767"/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1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 oneField="1">
      <fieldsUsage count="1">
        <fieldUsage x="2"/>
      </fieldsUsage>
    </cacheHierarchy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6550929" backgroundQuery="1" createdVersion="8" refreshedVersion="8" minRefreshableVersion="3" recordCount="0" supportSubquery="1" supportAdvancedDrill="1" xr:uid="{E1F034AC-9E75-4219-8039-57BDF02B8E97}">
  <cacheSource type="external" connectionId="3"/>
  <cacheFields count="3">
    <cacheField name="[dCalendario].[AnoMesSegmen].[AnoMesSegmen]" caption="AnoMesSegmen" numFmtId="0" hierarchy="25" level="1">
      <sharedItems containsSemiMixedTypes="0" containsNonDate="0" containsString="0"/>
    </cacheField>
    <cacheField name="[dCalendario].[Mês].[Mês]" caption="Mês" numFmtId="0" hierarchy="21" level="1">
      <sharedItems containsSemiMixedTypes="0" containsNonDate="0" containsString="0"/>
    </cacheField>
    <cacheField name="[Measures].[Balanco Mensal Mes Anterior %]" caption="Balanco Mensal Mes Anterior %" numFmtId="0" hierarchy="70" level="32767"/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1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 oneField="1">
      <fieldsUsage count="1">
        <fieldUsage x="2"/>
      </fieldsUsage>
    </cacheHierarchy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6666667" backgroundQuery="1" createdVersion="8" refreshedVersion="8" minRefreshableVersion="3" recordCount="0" supportSubquery="1" supportAdvancedDrill="1" xr:uid="{6487787F-82CD-44CE-9B48-74359BD43ED0}">
  <cacheSource type="external" connectionId="3"/>
  <cacheFields count="3">
    <cacheField name="[dCalendario].[AnoMesSegmen].[AnoMesSegmen]" caption="AnoMesSegmen" numFmtId="0" hierarchy="25" level="1">
      <sharedItems containsSemiMixedTypes="0" containsNonDate="0" containsString="0"/>
    </cacheField>
    <cacheField name="[dCalendario].[Mês].[Mês]" caption="Mês" numFmtId="0" hierarchy="21" level="1">
      <sharedItems containsSemiMixedTypes="0" containsNonDate="0" containsString="0"/>
    </cacheField>
    <cacheField name="[Measures].[Quantidade Meses Selecionados]" caption="Quantidade Meses Selecionados" numFmtId="0" hierarchy="84" level="32767"/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1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 oneField="1">
      <fieldsUsage count="1">
        <fieldUsage x="2"/>
      </fieldsUsage>
    </cacheHierarchy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6782406" backgroundQuery="1" createdVersion="8" refreshedVersion="8" minRefreshableVersion="3" recordCount="0" supportSubquery="1" supportAdvancedDrill="1" xr:uid="{A3B37940-3F8B-4A5A-BB05-8D743AA51CF5}">
  <cacheSource type="external" connectionId="3"/>
  <cacheFields count="3">
    <cacheField name="[dCalendario].[AnoMesSegmen].[AnoMesSegmen]" caption="AnoMesSegmen" numFmtId="0" hierarchy="25" level="1">
      <sharedItems containsSemiMixedTypes="0" containsNonDate="0" containsString="0"/>
    </cacheField>
    <cacheField name="[dCalendario].[Mês].[Mês]" caption="Mês" numFmtId="0" hierarchy="21" level="1">
      <sharedItems containsSemiMixedTypes="0" containsNonDate="0" containsString="0"/>
    </cacheField>
    <cacheField name="[Measures].[Nome Da Categoria Com Maior Gasto]" caption="Nome Da Categoria Com Maior Gasto" numFmtId="0" hierarchy="58" level="32767"/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1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 oneField="1">
      <fieldsUsage count="1">
        <fieldUsage x="2"/>
      </fieldsUsage>
    </cacheHierarchy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6898145" backgroundQuery="1" createdVersion="8" refreshedVersion="8" minRefreshableVersion="3" recordCount="0" supportSubquery="1" supportAdvancedDrill="1" xr:uid="{8BE82FB0-FAB7-4838-8734-45BD0737D0E9}">
  <cacheSource type="external" connectionId="3"/>
  <cacheFields count="3">
    <cacheField name="[dCalendario].[AnoMesSegmen].[AnoMesSegmen]" caption="AnoMesSegmen" numFmtId="0" hierarchy="25" level="1">
      <sharedItems containsSemiMixedTypes="0" containsNonDate="0" containsString="0"/>
    </cacheField>
    <cacheField name="[dCalendario].[Mês].[Mês]" caption="Mês" numFmtId="0" hierarchy="21" level="1">
      <sharedItems containsSemiMixedTypes="0" containsNonDate="0" containsString="0"/>
    </cacheField>
    <cacheField name="[Measures].[Maior Valor Gasto Por Categoria]" caption="Maior Valor Gasto Por Categoria" numFmtId="0" hierarchy="57" level="32767"/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1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 oneField="1">
      <fieldsUsage count="1">
        <fieldUsage x="2"/>
      </fieldsUsage>
    </cacheHierarchy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7013891" backgroundQuery="1" createdVersion="8" refreshedVersion="8" minRefreshableVersion="3" recordCount="0" supportSubquery="1" supportAdvancedDrill="1" xr:uid="{FEDF0AC0-9020-4D65-A459-4405BF671BF0}">
  <cacheSource type="external" connectionId="3"/>
  <cacheFields count="3">
    <cacheField name="[dCalendario].[AnoMesSegmen].[AnoMesSegmen]" caption="AnoMesSegmen" numFmtId="0" hierarchy="25" level="1">
      <sharedItems containsSemiMixedTypes="0" containsNonDate="0" containsString="0"/>
    </cacheField>
    <cacheField name="[dCalendario].[Mês].[Mês]" caption="Mês" numFmtId="0" hierarchy="21" level="1">
      <sharedItems containsSemiMixedTypes="0" containsNonDate="0" containsString="0"/>
    </cacheField>
    <cacheField name="[Measures].[Menor Data Selecionada]" caption="Menor Data Selecionada" numFmtId="0" hierarchy="85" level="32767"/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1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 oneField="1">
      <fieldsUsage count="1">
        <fieldUsage x="2"/>
      </fieldsUsage>
    </cacheHierarchy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9.800467013891" backgroundQuery="1" createdVersion="8" refreshedVersion="8" minRefreshableVersion="3" recordCount="0" supportSubquery="1" supportAdvancedDrill="1" xr:uid="{96385C47-8F2F-4EC5-9A8B-FF2D950A65CC}">
  <cacheSource type="external" connectionId="3"/>
  <cacheFields count="3">
    <cacheField name="[dCalendario].[AnoMesSegmen].[AnoMesSegmen]" caption="AnoMesSegmen" numFmtId="0" hierarchy="25" level="1">
      <sharedItems containsSemiMixedTypes="0" containsNonDate="0" containsString="0"/>
    </cacheField>
    <cacheField name="[dCalendario].[Mês].[Mês]" caption="Mês" numFmtId="0" hierarchy="21" level="1">
      <sharedItems containsSemiMixedTypes="0" containsNonDate="0" containsString="0"/>
    </cacheField>
    <cacheField name="[Measures].[Maior Data Selecionada]" caption="Maior Data Selecionada" numFmtId="0" hierarchy="86" level="32767"/>
  </cacheFields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>
      <fieldsUsage count="2">
        <fieldUsage x="-1"/>
        <fieldUsage x="1"/>
      </fieldsUsage>
    </cacheHierarchy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2" memberValueDatatype="130" unbalanced="0">
      <fieldsUsage count="2">
        <fieldUsage x="-1"/>
        <fieldUsage x="0"/>
      </fieldsUsage>
    </cacheHierarchy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 oneField="1">
      <fieldsUsage count="1">
        <fieldUsage x="2"/>
      </fieldsUsage>
    </cacheHierarchy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dimensions count="4">
    <dimension name="ContaCorrente_" uniqueName="[ContaCorrente_]" caption="ContaCorrente_"/>
    <dimension name="dCalendario" uniqueName="[dCalendario]" caption="dCalendario"/>
    <dimension measure="1" name="Measures" uniqueName="[Measures]" caption="Measures"/>
    <dimension name="tbMetas" uniqueName="[tbMetas]" caption="tbMetas"/>
  </dimensions>
  <measureGroups count="3">
    <measureGroup name="ContaCorrente_" caption="ContaCorrente_"/>
    <measureGroup name="dCalendario" caption="dCalendario"/>
    <measureGroup name="tbMetas" caption="tbMetas"/>
  </measureGroups>
  <maps count="4">
    <map measureGroup="0" dimension="0"/>
    <map measureGroup="0" dimension="1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elipe Santos" refreshedDate="46108.88168726852" backgroundQuery="1" createdVersion="3" refreshedVersion="8" minRefreshableVersion="3" recordCount="0" supportSubquery="1" supportAdvancedDrill="1" xr:uid="{779685F4-CED5-41C2-8C52-1F55364B0CD3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91">
    <cacheHierarchy uniqueName="[ContaCorrente_].[Data]" caption="Data" attribute="1" time="1" defaultMemberUniqueName="[ContaCorrente_].[Data].[All]" allUniqueName="[ContaCorrente_].[Data].[All]" dimensionUniqueName="[ContaCorrente_]" displayFolder="" count="0" memberValueDatatype="7" unbalanced="0"/>
    <cacheHierarchy uniqueName="[ContaCorrente_].[Destinatário]" caption="Destinatário" attribute="1" defaultMemberUniqueName="[ContaCorrente_].[Destinatário].[All]" allUniqueName="[ContaCorrente_].[Destinatário].[All]" dimensionUniqueName="[ContaCorrente_]" displayFolder="" count="0" memberValueDatatype="130" unbalanced="0"/>
    <cacheHierarchy uniqueName="[ContaCorrente_].[Valor]" caption="Valor" attribute="1" defaultMemberUniqueName="[ContaCorrente_].[Valor].[All]" allUniqueName="[ContaCorrente_].[Valor].[All]" dimensionUniqueName="[ContaCorrente_]" displayFolder="" count="0" memberValueDatatype="5" unbalanced="0"/>
    <cacheHierarchy uniqueName="[ContaCorrente_].[Descrição]" caption="Descrição" attribute="1" defaultMemberUniqueName="[ContaCorrente_].[Descrição].[All]" allUniqueName="[ContaCorrente_].[Descrição].[All]" dimensionUniqueName="[ContaCorrente_]" displayFolder="" count="0" memberValueDatatype="130" unbalanced="0"/>
    <cacheHierarchy uniqueName="[ContaCorrente_].[Origem]" caption="Origem" attribute="1" defaultMemberUniqueName="[ContaCorrente_].[Origem].[All]" allUniqueName="[ContaCorrente_].[Origem].[All]" dimensionUniqueName="[ContaCorrente_]" displayFolder="" count="0" memberValueDatatype="130" unbalanced="0"/>
    <cacheHierarchy uniqueName="[ContaCorrente_].[Tipo]" caption="Tipo" attribute="1" defaultMemberUniqueName="[ContaCorrente_].[Tipo].[All]" allUniqueName="[ContaCorrente_].[Tipo].[All]" dimensionUniqueName="[ContaCorrente_]" displayFolder="" count="0" memberValueDatatype="130" unbalanced="0"/>
    <cacheHierarchy uniqueName="[ContaCorrente_].[Categoria]" caption="Categoria" attribute="1" defaultMemberUniqueName="[ContaCorrente_].[Categoria].[All]" allUniqueName="[ContaCorrente_].[Categoria].[All]" dimensionUniqueName="[ContaCorrente_]" displayFolder="" count="0" memberValueDatatype="130" unbalanced="0"/>
    <cacheHierarchy uniqueName="[ContaCorrente_].[Saldo]" caption="Saldo" attribute="1" defaultMemberUniqueName="[ContaCorrente_].[Saldo].[All]" allUniqueName="[ContaCorrente_].[Saldo].[All]" dimensionUniqueName="[ContaCorrente_]" displayFolder="" count="0" memberValueDatatype="5" unbalanced="0"/>
    <cacheHierarchy uniqueName="[ContaCorrente_].[Mês/Ano]" caption="Mês/Ano" attribute="1" time="1" defaultMemberUniqueName="[ContaCorrente_].[Mês/Ano].[All]" allUniqueName="[ContaCorrente_].[Mês/Ano].[All]" dimensionUniqueName="[ContaCorrente_]" displayFolder="" count="0" memberValueDatatype="7" unbalanced="0"/>
    <cacheHierarchy uniqueName="[ContaCorrente_].[Mês]" caption="Mês" attribute="1" defaultMemberUniqueName="[ContaCorrente_].[Mês].[All]" allUniqueName="[ContaCorrente_].[Mês].[All]" dimensionUniqueName="[ContaCorrente_]" displayFolder="" count="0" memberValueDatatype="20" unbalanced="0"/>
    <cacheHierarchy uniqueName="[ContaCorrente_].[Ano]" caption="Ano" attribute="1" defaultMemberUniqueName="[ContaCorrente_].[Ano].[All]" allUniqueName="[ContaCorrente_].[Ano].[All]" dimensionUniqueName="[ContaCorrente_]" displayFolder="" count="0" memberValueDatatype="20" unbalanced="0"/>
    <cacheHierarchy uniqueName="[ContaCorrente_].[Parcela]" caption="Parcela" attribute="1" defaultMemberUniqueName="[ContaCorrente_].[Parcela].[All]" allUniqueName="[ContaCorrente_].[Parcela].[All]" dimensionUniqueName="[ContaCorrente_]" displayFolder="" count="0" memberValueDatatype="130" unbalanced="0"/>
    <cacheHierarchy uniqueName="[ContaCorrente_].[Total Parcelas]" caption="Total Parcelas" attribute="1" defaultMemberUniqueName="[ContaCorrente_].[Total Parcelas].[All]" allUniqueName="[ContaCorrente_].[Total Parcelas].[All]" dimensionUniqueName="[ContaCorrente_]" displayFolder="" count="0" memberValueDatatype="20" unbalanced="0"/>
    <cacheHierarchy uniqueName="[ContaCorrente_].[Venc. Fatura]" caption="Venc. Fatura" attribute="1" time="1" defaultMemberUniqueName="[ContaCorrente_].[Venc. Fatura].[All]" allUniqueName="[ContaCorrente_].[Venc. Fatura].[All]" dimensionUniqueName="[ContaCorrente_]" displayFolder="" count="0" memberValueDatatype="7" unbalanced="0"/>
    <cacheHierarchy uniqueName="[ContaCorrente_].[Status]" caption="Status" attribute="1" defaultMemberUniqueName="[ContaCorrente_].[Status].[All]" allUniqueName="[ContaCorrente_].[Status].[All]" dimensionUniqueName="[ContaCorrente_]" displayFolder="" count="0" memberValueDatatype="130" unbalanced="0"/>
    <cacheHierarchy uniqueName="[ContaCorrente_].[Mês Seguinte]" caption="Mês Seguinte" attribute="1" defaultMemberUniqueName="[ContaCorrente_].[Mês Seguinte].[All]" allUniqueName="[ContaCorrente_].[Mês Seguinte].[All]" dimensionUniqueName="[ContaCorrente_]" displayFolder="" count="0" memberValueDatatype="130" unbalanced="0"/>
    <cacheHierarchy uniqueName="[ContaCorrente_].[Coluna calculada 1]" caption="Coluna calculada 1" attribute="1" defaultMemberUniqueName="[ContaCorrente_].[Coluna calculada 1].[All]" allUniqueName="[ContaCorrente_].[Coluna calculada 1].[All]" dimensionUniqueName="[ContaCorrente_]" displayFolder="" count="0" memberValueDatatype="130" unbalanced="0"/>
    <cacheHierarchy uniqueName="[ContaCorrente_].[Mês/Ano (Mês)]" caption="Mês/Ano (Mês)" attribute="1" defaultMemberUniqueName="[ContaCorrente_].[Mês/Ano (Mês)].[All]" allUniqueName="[ContaCorrente_].[Mês/Ano (Mês)].[All]" dimensionUniqueName="[ContaCorrente_]" displayFolder="" count="0" memberValueDatatype="130" unbalanced="0"/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esNum]" caption="MesNum" attribute="1" defaultMemberUniqueName="[dCalendario].[MesNum].[All]" allUniqueName="[dCalendario].[MesNum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130" unbalanced="0"/>
    <cacheHierarchy uniqueName="[dCalendario].[Mês Abrev]" caption="Mês Abrev" attribute="1" defaultMemberUniqueName="[dCalendario].[Mês Abrev].[All]" allUniqueName="[dCalendario].[Mês Abrev].[All]" dimensionUniqueName="[dCalendario]" displayFolder="" count="0" memberValueDatatype="130" unbalanced="0"/>
    <cacheHierarchy uniqueName="[dCalendario].[AnoMes]" caption="AnoMes" attribute="1" defaultMemberUniqueName="[dCalendario].[AnoMes].[All]" allUniqueName="[dCalendario].[AnoMes].[All]" dimensionUniqueName="[dCalendario]" displayFolder="" count="0" memberValueDatatype="130" unbalanced="0"/>
    <cacheHierarchy uniqueName="[dCalendario].[Trimestre]" caption="Trimestre" attribute="1" defaultMemberUniqueName="[dCalendario].[Trimestre].[All]" allUniqueName="[dCalendario].[Trimestre].[All]" dimensionUniqueName="[dCalendario]" displayFolder="" count="0" memberValueDatatype="130" unbalanced="0"/>
    <cacheHierarchy uniqueName="[dCalendario].[AnoMesSegmen]" caption="AnoMesSegmen" attribute="1" defaultMemberUniqueName="[dCalendario].[AnoMesSegmen].[All]" allUniqueName="[dCalendario].[AnoMesSegmen].[All]" dimensionUniqueName="[dCalendario]" displayFolder="" count="0" memberValueDatatype="130" unbalanced="0"/>
    <cacheHierarchy uniqueName="[dCalendario].[AnoMesOrdem]" caption="AnoMesOrdem" attribute="1" defaultMemberUniqueName="[dCalendario].[AnoMesOrdem].[All]" allUniqueName="[dCalendario].[AnoMesOrdem].[All]" dimensionUniqueName="[dCalendario]" displayFolder="" count="0" memberValueDatatype="20" unbalanced="0"/>
    <cacheHierarchy uniqueName="[dCalendario].[AnoMesMaiusc]" caption="AnoMesMaiusc" attribute="1" defaultMemberUniqueName="[dCalendario].[AnoMesMaiusc].[All]" allUniqueName="[dCalendario].[AnoMesMaiusc].[All]" dimensionUniqueName="[dCalendario]" displayFolder="" count="0" memberValueDatatype="130" unbalanced="0"/>
    <cacheHierarchy uniqueName="[tbMetas].[Indicador]" caption="Indicador" attribute="1" defaultMemberUniqueName="[tbMetas].[Indicador].[All]" allUniqueName="[tbMetas].[Indicador].[All]" dimensionUniqueName="[tbMetas]" displayFolder="" count="0" memberValueDatatype="130" unbalanced="0"/>
    <cacheHierarchy uniqueName="[tbMetas].[Meta]" caption="Meta" attribute="1" defaultMemberUniqueName="[tbMetas].[Meta].[All]" allUniqueName="[tbMetas].[Meta].[All]" dimensionUniqueName="[tbMetas]" displayFolder="" count="0" memberValueDatatype="5" unbalanced="0"/>
    <cacheHierarchy uniqueName="[ContaCorrente_].[Mês/Ano (Índice de Mês)]" caption="Mês/Ano (Índice de Mês)" attribute="1" defaultMemberUniqueName="[ContaCorrente_].[Mês/Ano (Índice de Mês)].[All]" allUniqueName="[ContaCorrente_].[Mês/Ano (Índice de Mês)].[All]" dimensionUniqueName="[ContaCorrente_]" displayFolder="" count="0" memberValueDatatype="20" unbalanced="0" hidden="1"/>
    <cacheHierarchy uniqueName="[Measures].[Contagem de Status]" caption="Contagem de Status" measure="1" displayFolder="" measureGroup="ContaCorrente_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AnoMesSegmen]" caption="Contagem de AnoMesSegmen" measure="1" displayFolder="" measureGroup="dCalendario" count="0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Total Movimentado]" caption="Total Movimentado" measure="1" displayFolder="" measureGroup="ContaCorrente_" count="0"/>
    <cacheHierarchy uniqueName="[Measures].[Total Entradas]" caption="Total Entradas" measure="1" displayFolder="" measureGroup="ContaCorrente_" count="0"/>
    <cacheHierarchy uniqueName="[Measures].[Total Saidas]" caption="Total Saidas" measure="1" displayFolder="" measureGroup="ContaCorrente_" count="0"/>
    <cacheHierarchy uniqueName="[Measures].[Total Gasto Cartao Credito]" caption="Total Gasto Cartao Credito" measure="1" displayFolder="" measureGroup="ContaCorrente_" count="0"/>
    <cacheHierarchy uniqueName="[Measures].[Qtd Compras Cartao]" caption="Qtd Compras Cartao" measure="1" displayFolder="" measureGroup="ContaCorrente_" count="0"/>
    <cacheHierarchy uniqueName="[Measures].[Ticket Medio Cartao]" caption="Ticket Medio Cartao" measure="1" displayFolder="" measureGroup="ContaCorrente_" count="0"/>
    <cacheHierarchy uniqueName="[Measures].[Compras Parceladas]" caption="Compras Parceladas" measure="1" displayFolder="" measureGroup="ContaCorrente_" count="0"/>
    <cacheHierarchy uniqueName="[Measures].[Compras Avista Cartao]" caption="Compras Avista Cartao" measure="1" displayFolder="" measureGroup="ContaCorrente_" count="0"/>
    <cacheHierarchy uniqueName="[Measures].[Percent Parcelado]" caption="Percent Parcelado" measure="1" displayFolder="" measureGroup="ContaCorrente_" count="0"/>
    <cacheHierarchy uniqueName="[Measures].[Fatura Paga]" caption="Fatura Paga" measure="1" displayFolder="" measureGroup="ContaCorrente_" count="0"/>
    <cacheHierarchy uniqueName="[Measures].[Fatura Pendente]" caption="Fatura Pendente" measure="1" displayFolder="" measureGroup="ContaCorrente_" count="0"/>
    <cacheHierarchy uniqueName="[Measures].[Gasto Mes]" caption="Gasto Mes" measure="1" displayFolder="" measureGroup="ContaCorrente_" count="0"/>
    <cacheHierarchy uniqueName="[Measures].[Receita Mes]" caption="Receita Mes" measure="1" displayFolder="" measureGroup="ContaCorrente_" count="0"/>
    <cacheHierarchy uniqueName="[Measures].[Total Saidas Mes Anterior]" caption="Total Saidas Mes Anterior" measure="1" displayFolder="" measureGroup="ContaCorrente_" count="0"/>
    <cacheHierarchy uniqueName="[Measures].[Variacao Gastos Mensal ABS]" caption="Variacao Gastos Mensal ABS" measure="1" displayFolder="" measureGroup="ContaCorrente_" count="0"/>
    <cacheHierarchy uniqueName="[Measures].[Total Alimentacao]" caption="Total Alimentacao" measure="1" displayFolder="" measureGroup="ContaCorrente_" count="0"/>
    <cacheHierarchy uniqueName="[Measures].[Total Moradia]" caption="Total Moradia" measure="1" displayFolder="" measureGroup="ContaCorrente_" count="0"/>
    <cacheHierarchy uniqueName="[Measures].[Total Lazer]" caption="Total Lazer" measure="1" displayFolder="" measureGroup="ContaCorrente_" count="0"/>
    <cacheHierarchy uniqueName="[Measures].[Saldo Atual]" caption="Saldo Atual" measure="1" displayFolder="" measureGroup="ContaCorrente_" count="0"/>
    <cacheHierarchy uniqueName="[Measures].[Total Entradas Mes Anterior]" caption="Total Entradas Mes Anterior" measure="1" displayFolder="" measureGroup="ContaCorrente_" count="0"/>
    <cacheHierarchy uniqueName="[Measures].[Balanco Mensal]" caption="Balanco Mensal" measure="1" displayFolder="" measureGroup="ContaCorrente_" count="0"/>
    <cacheHierarchy uniqueName="[Measures].[% Economia]" caption="% Economia" measure="1" displayFolder="" measureGroup="ContaCorrente_" count="0"/>
    <cacheHierarchy uniqueName="[Measures].[A Pagar Valor]" caption="A Pagar Valor" measure="1" displayFolder="" measureGroup="ContaCorrente_" count="0"/>
    <cacheHierarchy uniqueName="[Measures].[A Pagar Texto]" caption="A Pagar Texto" measure="1" displayFolder="" measureGroup="ContaCorrente_" count="0"/>
    <cacheHierarchy uniqueName="[Measures].[Maior Valor Gasto Por Categoria]" caption="Maior Valor Gasto Por Categoria" measure="1" displayFolder="" measureGroup="ContaCorrente_" count="0"/>
    <cacheHierarchy uniqueName="[Measures].[Nome Da Categoria Com Maior Gasto]" caption="Nome Da Categoria Com Maior Gasto" measure="1" displayFolder="" measureGroup="ContaCorrente_" count="0"/>
    <cacheHierarchy uniqueName="[Measures].[Categoria Top 1 Gasto Formatada]" caption="Categoria Top 1 Gasto Formatada" measure="1" displayFolder="" measureGroup="ContaCorrente_" count="0"/>
    <cacheHierarchy uniqueName="[Measures].[Rank Categoria]" caption="Rank Categoria" measure="1" displayFolder="" measureGroup="ContaCorrente_" count="0"/>
    <cacheHierarchy uniqueName="[Measures].[Valor Demais Categorias]" caption="Valor Demais Categorias" measure="1" displayFolder="" measureGroup="ContaCorrente_" count="0"/>
    <cacheHierarchy uniqueName="[Measures].[Valor Top 1]" caption="Valor Top 1" measure="1" displayFolder="" measureGroup="ContaCorrente_" count="0"/>
    <cacheHierarchy uniqueName="[Measures].[Economia Mes Anterior]" caption="Economia Mes Anterior" measure="1" displayFolder="" measureGroup="ContaCorrente_" count="0"/>
    <cacheHierarchy uniqueName="[Measures].[Variacao Economia]" caption="Variacao Economia" measure="1" displayFolder="" measureGroup="ContaCorrente_" count="0"/>
    <cacheHierarchy uniqueName="[Measures].[Economia com Seta]" caption="Economia com Seta" measure="1" displayFolder="" measureGroup="ContaCorrente_" count="0"/>
    <cacheHierarchy uniqueName="[Measures].[Total Saidas Mes Anterior em %]" caption="Total Saidas Mes Anterior em %" measure="1" displayFolder="" measureGroup="ContaCorrente_" count="0"/>
    <cacheHierarchy uniqueName="[Measures].[Total Entradas Mes Anterior em %]" caption="Total Entradas Mes Anterior em %" measure="1" displayFolder="" measureGroup="ContaCorrente_" count="0"/>
    <cacheHierarchy uniqueName="[Measures].[Variação receita mensal]" caption="Variação receita mensal" measure="1" displayFolder="" measureGroup="ContaCorrente_" count="0"/>
    <cacheHierarchy uniqueName="[Measures].[Balanco Mensal Mes Anterior]" caption="Balanco Mensal Mes Anterior" measure="1" displayFolder="" measureGroup="ContaCorrente_" count="0"/>
    <cacheHierarchy uniqueName="[Measures].[Balanco Mensal Mes Anterior %]" caption="Balanco Mensal Mes Anterior %" measure="1" displayFolder="" measureGroup="ContaCorrente_" count="0"/>
    <cacheHierarchy uniqueName="[Measures].[Meta Saidas]" caption="Meta Saidas" measure="1" displayFolder="" measureGroup="tbMetas" count="0"/>
    <cacheHierarchy uniqueName="[Measures].[Meta Entradas]" caption="Meta Entradas" measure="1" displayFolder="" measureGroup="tbMetas" count="0"/>
    <cacheHierarchy uniqueName="[Measures].[Meta Economia %]" caption="Meta Economia %" measure="1" displayFolder="" measureGroup="tbMetas" count="0"/>
    <cacheHierarchy uniqueName="[Measures].[Meta Balanco Mensal]" caption="Meta Balanco Mensal" measure="1" displayFolder="" measureGroup="tbMetas" count="0"/>
    <cacheHierarchy uniqueName="[Measures].[Desvio Saidas]" caption="Desvio Saidas" measure="1" displayFolder="" measureGroup="tbMetas" count="0"/>
    <cacheHierarchy uniqueName="[Measures].[Desvio Entradas]" caption="Desvio Entradas" measure="1" displayFolder="" measureGroup="tbMetas" count="0"/>
    <cacheHierarchy uniqueName="[Measures].[Desvio Economia %]" caption="Desvio Economia %" measure="1" displayFolder="" measureGroup="tbMetas" count="0"/>
    <cacheHierarchy uniqueName="[Measures].[Desvio BalancoMensal]" caption="Desvio BalancoMensal" measure="1" displayFolder="" measureGroup="tbMetas" count="0"/>
    <cacheHierarchy uniqueName="[Measures].[Status Saidas]" caption="Status Saidas" measure="1" displayFolder="" measureGroup="tbMetas" count="0"/>
    <cacheHierarchy uniqueName="[Measures].[Status Entradas]" caption="Status Entradas" measure="1" displayFolder="" measureGroup="tbMetas" count="0"/>
    <cacheHierarchy uniqueName="[Measures].[Status Economia %]" caption="Status Economia %" measure="1" displayFolder="" measureGroup="tbMetas" count="0"/>
    <cacheHierarchy uniqueName="[Measures].[Status Balanco Mensal]" caption="Status Balanco Mensal" measure="1" displayFolder="" measureGroup="tbMetas" count="0"/>
    <cacheHierarchy uniqueName="[Measures].[Media Movel 3 meses Saidas]" caption="Media Movel 3 meses Saidas" measure="1" displayFolder="" measureGroup="ContaCorrente_" count="0"/>
    <cacheHierarchy uniqueName="[Measures].[Quantidade Meses Selecionados]" caption="Quantidade Meses Selecionados" measure="1" displayFolder="" measureGroup="ContaCorrente_" count="0"/>
    <cacheHierarchy uniqueName="[Measures].[Menor Data Selecionada]" caption="Menor Data Selecionada" measure="1" displayFolder="" measureGroup="ContaCorrente_" count="0"/>
    <cacheHierarchy uniqueName="[Measures].[Maior Data Selecionada]" caption="Maior Data Selecionada" measure="1" displayFolder="" measureGroup="ContaCorrente_" count="0"/>
    <cacheHierarchy uniqueName="[Measures].[__XL_Count ContaCorrente_]" caption="__XL_Count ContaCorrente_" measure="1" displayFolder="" measureGroup="ContaCorrente_" count="0" hidden="1"/>
    <cacheHierarchy uniqueName="[Measures].[__XL_Count dCalendario]" caption="__XL_Count dCalendario" measure="1" displayFolder="" measureGroup="dCalendario" count="0" hidden="1"/>
    <cacheHierarchy uniqueName="[Measures].[__XL_Count tbMetas]" caption="__XL_Count tbMetas" measure="1" displayFolder="" measureGroup="tbMetas" count="0" hidden="1"/>
    <cacheHierarchy uniqueName="[Measures].[__Não há medidas definidas]" caption="__Não há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68657049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BE9E64-9654-4A79-BA47-8BBD5D0816C9}" name="Tabela dinâmica5" cacheId="9" applyNumberFormats="0" applyBorderFormats="0" applyFontFormats="0" applyPatternFormats="0" applyAlignmentFormats="0" applyWidthHeightFormats="1" dataCaption="Valores" tag="1e37a0e8-5963-48b6-90af-fded69116173" updatedVersion="8" minRefreshableVersion="3" subtotalHiddenItems="1" itemPrintTitles="1" createdVersion="8" indent="0" outline="1" outlineData="1" multipleFieldFilters="0">
  <location ref="C8:C9" firstHeaderRow="1" firstDataRow="1" firstDataCol="0"/>
  <pivotFields count="3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dataFields count="1">
    <dataField fld="2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475A84-3DC0-4396-A880-A5BC1A90F031}" name="Tabela dinâmica11" cacheId="18" applyNumberFormats="0" applyBorderFormats="0" applyFontFormats="0" applyPatternFormats="0" applyAlignmentFormats="0" applyWidthHeightFormats="1" dataCaption="Valores" tag="831dd942-0dc7-4eba-8299-e3671f1a5373" updatedVersion="8" minRefreshableVersion="3" subtotalHiddenItems="1" itemPrintTitles="1" createdVersion="8" indent="0" outline="1" outlineData="1" multipleFieldFilters="0">
  <location ref="E13:E14" firstHeaderRow="1" firstDataRow="1" firstDataCol="0"/>
  <pivotFields count="3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dataFields count="1">
    <dataField fld="2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054DB0-E274-4C7A-85BC-1817C22EE432}" name="Tabela dinâmica1" cacheId="1" applyNumberFormats="0" applyBorderFormats="0" applyFontFormats="0" applyPatternFormats="0" applyAlignmentFormats="0" applyWidthHeightFormats="1" dataCaption="Valores" tag="8f583a9f-ab7b-46a1-a2ef-93fe85b97d5c" updatedVersion="8" minRefreshableVersion="3" subtotalHiddenItems="1" itemPrintTitles="1" createdVersion="8" indent="0" outline="1" outlineData="1" multipleFieldFilters="0">
  <location ref="A7:A8" firstHeaderRow="1" firstDataRow="1" firstDataCol="0"/>
  <pivotFields count="2">
    <pivotField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dataFields count="1">
    <dataField fld="1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fev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19DE25-C86D-4A77-8AD2-14BE7278659B}" name="Tabela dinâmica6" cacheId="13" applyNumberFormats="0" applyBorderFormats="0" applyFontFormats="0" applyPatternFormats="0" applyAlignmentFormats="0" applyWidthHeightFormats="1" dataCaption="Valores" tag="863c2ecf-c2de-4e56-b52f-25d07445893a" updatedVersion="8" minRefreshableVersion="3" subtotalHiddenItems="1" itemPrintTitles="1" createdVersion="8" indent="0" outline="1" outlineData="1" multipleFieldFilters="0">
  <location ref="A10:A11" firstHeaderRow="1" firstDataRow="1" firstDataCol="0"/>
  <pivotFields count="3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dataFields count="1">
    <dataField fld="2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3ADA81-4B66-49F9-A757-5DCDF95BA55E}" name="Gasto_Cartao_Status" cacheId="5" applyNumberFormats="0" applyBorderFormats="0" applyFontFormats="0" applyPatternFormats="0" applyAlignmentFormats="0" applyWidthHeightFormats="1" dataCaption="Valores" tag="33a5ddf2-1e63-4f6c-b4a8-80d31961a6de" updatedVersion="8" minRefreshableVersion="3" subtotalHiddenItems="1" itemPrintTitles="1" createdVersion="8" indent="0" outline="1" outlineData="1" multipleFieldFilters="0">
  <location ref="A4:A5" firstHeaderRow="1" firstDataRow="1" firstDataCol="0"/>
  <pivotFields count="3"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1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700E99-7838-4219-83A5-49923F66EF7A}" name="Movimentacao_mes" cacheId="0" applyNumberFormats="0" applyBorderFormats="0" applyFontFormats="0" applyPatternFormats="0" applyAlignmentFormats="0" applyWidthHeightFormats="1" dataCaption="Valores" tag="28bf3701-1e45-4b17-993f-bf9fc382805f" updatedVersion="8" minRefreshableVersion="3" useAutoFormatting="1" subtotalHiddenItems="1" itemPrintTitles="1" createdVersion="8" indent="0" outline="1" outlineData="1" multipleFieldFilters="0" chartFormat="5">
  <location ref="I3:K8" firstHeaderRow="0" firstDataRow="1" firstDataCol="1"/>
  <pivotFields count="3"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fld="0" subtotal="count" baseField="0" baseItem="0"/>
    <dataField fld="1" subtotal="count" baseField="0" baseItem="0"/>
  </dataFields>
  <chartFormats count="2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3D3AF8-78B4-40F6-8AC0-2F0D08942EA0}" name="Tabela dinâmica7" cacheId="14" applyNumberFormats="0" applyBorderFormats="0" applyFontFormats="0" applyPatternFormats="0" applyAlignmentFormats="0" applyWidthHeightFormats="1" dataCaption="Valores" tag="7095756d-78b3-47ab-8447-715a155e6eb6" updatedVersion="8" minRefreshableVersion="3" subtotalHiddenItems="1" itemPrintTitles="1" createdVersion="8" indent="0" outline="1" outlineData="1" multipleFieldFilters="0">
  <location ref="C10:C11" firstHeaderRow="1" firstDataRow="1" firstDataCol="0"/>
  <pivotFields count="3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dataFields count="1">
    <dataField fld="2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6530B7-F1F8-476E-95A7-FF1368AECDCA}" name="Tabela dinâmica8" cacheId="15" applyNumberFormats="0" applyBorderFormats="0" applyFontFormats="0" applyPatternFormats="0" applyAlignmentFormats="0" applyWidthHeightFormats="1" dataCaption="Valores" tag="426f1889-29b8-4873-b330-61c5510c07a4" updatedVersion="8" minRefreshableVersion="3" useAutoFormatting="1" subtotalHiddenItems="1" itemPrintTitles="1" createdVersion="8" indent="0" outline="1" outlineData="1" multipleFieldFilters="0">
  <location ref="M20:M21" firstHeaderRow="1" firstDataRow="1" firstDataCol="0"/>
  <pivotFields count="3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dataFields count="1">
    <dataField fld="2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158DBF-644A-4C67-837D-EF4321BA4A61}" name="KPIs" cacheId="6" applyNumberFormats="0" applyBorderFormats="0" applyFontFormats="0" applyPatternFormats="0" applyAlignmentFormats="0" applyWidthHeightFormats="1" dataCaption="Valores" tag="4cc7f94d-f8c4-4c30-bab3-230cfc22932a" updatedVersion="8" minRefreshableVersion="3" subtotalHiddenItems="1" itemPrintTitles="1" createdVersion="8" indent="0" outline="1" outlineData="1" multipleFieldFilters="0">
  <location ref="A1:E2" firstHeaderRow="0" firstDataRow="1" firstDataCol="0"/>
  <pivotFields count="7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85647A-7AD9-483A-A76E-627D05E5F5BE}" name="Tabela dinâmica14" cacheId="2" applyNumberFormats="0" applyBorderFormats="0" applyFontFormats="0" applyPatternFormats="0" applyAlignmentFormats="0" applyWidthHeightFormats="1" dataCaption="Valores" tag="a1482b60-e279-4aef-b7b7-f36b012a21d6" updatedVersion="8" minRefreshableVersion="3" subtotalHiddenItems="1" itemPrintTitles="1" createdVersion="8" indent="0" outline="1" outlineData="1" multipleFieldFilters="0" chartFormat="2">
  <location ref="E4:E5" firstHeaderRow="1" firstDataRow="1" firstDataCol="0"/>
  <pivotFields count="2">
    <pivotField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dataFields count="1">
    <dataField fld="1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fev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9ADD28-1716-481E-AF79-5DBF25CB830D}" name="Tabela dinâmica12" cacheId="19" applyNumberFormats="0" applyBorderFormats="0" applyFontFormats="0" applyPatternFormats="0" applyAlignmentFormats="0" applyWidthHeightFormats="1" dataCaption="Valores" tag="d8919ef6-86ee-4879-b92e-0cccfd3c9a1a" updatedVersion="8" minRefreshableVersion="3" subtotalHiddenItems="1" itemPrintTitles="1" createdVersion="8" indent="0" outline="1" outlineData="1" multipleFieldFilters="0">
  <location ref="G13:G14" firstHeaderRow="1" firstDataRow="1" firstDataCol="0"/>
  <pivotFields count="3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dataFields count="1">
    <dataField fld="2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733E5-98BA-4867-AEF0-7356BD6F6DF2}" name="Tabela dinâmica9" cacheId="16" applyNumberFormats="0" applyBorderFormats="0" applyFontFormats="0" applyPatternFormats="0" applyAlignmentFormats="0" applyWidthHeightFormats="1" dataCaption="Valores" tag="2fac55d2-c277-4aed-8d19-81bf835a3f57" updatedVersion="8" minRefreshableVersion="3" subtotalHiddenItems="1" itemPrintTitles="1" createdVersion="8" indent="0" outline="1" outlineData="1" multipleFieldFilters="0">
  <location ref="A13:A14" firstHeaderRow="1" firstDataRow="1" firstDataCol="0"/>
  <pivotFields count="3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dataFields count="1">
    <dataField fld="2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C6C7C3-D210-4DFF-B006-47D941C1173E}" name="Gasto_Cartao_Mes" cacheId="4" applyNumberFormats="0" applyBorderFormats="0" applyFontFormats="0" applyPatternFormats="0" applyAlignmentFormats="0" applyWidthHeightFormats="1" dataCaption="Valores" tag="ef75d8f5-03bc-4854-a009-dcb6996702d9" updatedVersion="8" minRefreshableVersion="3" useAutoFormatting="1" subtotalHiddenItems="1" itemPrintTitles="1" createdVersion="8" indent="0" outline="1" outlineData="1" multipleFieldFilters="0">
  <location ref="S1:T4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allDrilled="1" subtotalTop="0" showAll="0" dataSourceSort="1" defaultSubtotal="0" defaultAttributeDrillState="1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fld="0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14E473-097A-4F76-9480-289444893BE7}" name="Tabela dinâmica2" cacheId="10" applyNumberFormats="0" applyBorderFormats="0" applyFontFormats="0" applyPatternFormats="0" applyAlignmentFormats="0" applyWidthHeightFormats="1" dataCaption="Valores" tag="0e3f6be7-a7de-4aeb-96da-1c8b50186252" updatedVersion="8" minRefreshableVersion="3" useAutoFormatting="1" subtotalHiddenItems="1" itemPrintTitles="1" createdVersion="8" indent="0" outline="1" outlineData="1" multipleFieldFilters="0">
  <location ref="Q22:Q25" firstHeaderRow="1" firstDataRow="1" firstDataCol="1"/>
  <pivotFields count="2"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1">
    <field x="1"/>
  </rowFields>
  <rowItems count="3">
    <i>
      <x/>
    </i>
    <i>
      <x v="1"/>
    </i>
    <i t="grand">
      <x/>
    </i>
  </rowItem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56DE90-C6F4-43DF-AC82-4D087CA7BFEF}" name="Tabela dinâmica4" cacheId="12" applyNumberFormats="0" applyBorderFormats="0" applyFontFormats="0" applyPatternFormats="0" applyAlignmentFormats="0" applyWidthHeightFormats="1" dataCaption="Valores" tag="c3dacdd4-e8fb-48d1-8ee5-0780246a4aec" updatedVersion="8" minRefreshableVersion="3" subtotalHiddenItems="1" itemPrintTitles="1" createdVersion="8" indent="0" outline="1" outlineData="1" multipleFieldFilters="0">
  <location ref="E10:E11" firstHeaderRow="1" firstDataRow="1" firstDataCol="0"/>
  <pivotFields count="3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dataFields count="1">
    <dataField fld="2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4AA25B-9E24-402B-8B8E-6D16725F8137}" name="Tabela dinâmica10" cacheId="17" applyNumberFormats="0" applyBorderFormats="0" applyFontFormats="0" applyPatternFormats="0" applyAlignmentFormats="0" applyWidthHeightFormats="1" dataCaption="Valores" tag="c9adb024-3fa5-4382-b6e4-47c402e3f5f0" updatedVersion="8" minRefreshableVersion="3" subtotalHiddenItems="1" itemPrintTitles="1" createdVersion="8" indent="0" outline="1" outlineData="1" multipleFieldFilters="0">
  <location ref="C13:C14" firstHeaderRow="1" firstDataRow="1" firstDataCol="0"/>
  <pivotFields count="3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dataFields count="1">
    <dataField fld="2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5838F7-B168-4B4D-B85F-AB894235D189}" name="Gasto_cartao" cacheId="3" applyNumberFormats="0" applyBorderFormats="0" applyFontFormats="0" applyPatternFormats="0" applyAlignmentFormats="0" applyWidthHeightFormats="1" dataCaption="Valores" tag="32aed77b-e403-48b7-bbda-1664cb4b59e2" updatedVersion="8" minRefreshableVersion="3" useAutoFormatting="1" subtotalHiddenItems="1" itemPrintTitles="1" createdVersion="8" indent="0" outline="1" outlineData="1" multipleFieldFilters="0">
  <location ref="Q1:Q2" firstHeaderRow="1" firstDataRow="1" firstDataCol="0"/>
  <pivotFields count="3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0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1773EB-CFEB-4B32-BA5A-9554DE404E3E}" name="MaiorGastoCategoria" cacheId="7" applyNumberFormats="0" applyBorderFormats="0" applyFontFormats="0" applyPatternFormats="0" applyAlignmentFormats="0" applyWidthHeightFormats="1" dataCaption="Valores" tag="c1c451eb-fa63-4e91-89ce-70298efb3439" updatedVersion="8" minRefreshableVersion="3" subtotalHiddenItems="1" itemPrintTitles="1" createdVersion="8" indent="0" outline="1" outlineData="1" multipleFieldFilters="0">
  <location ref="C4:C5" firstHeaderRow="1" firstDataRow="1" firstDataCol="0"/>
  <pivotFields count="3"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1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AE59F6-ACF9-48BC-9C52-4FD3488F272F}" name="Saidas_categoria" cacheId="8" applyNumberFormats="0" applyBorderFormats="0" applyFontFormats="0" applyPatternFormats="0" applyAlignmentFormats="0" applyWidthHeightFormats="1" dataCaption="Valores" tag="5bc88250-3cd1-47aa-a885-28abbb1fef30" updatedVersion="8" minRefreshableVersion="3" useAutoFormatting="1" subtotalHiddenItems="1" colGrandTotals="0" itemPrintTitles="1" createdVersion="8" indent="0" outline="1" outlineData="1" multipleFieldFilters="0" chartFormat="7">
  <location ref="M1:P9" firstHeaderRow="0" firstDataRow="1" firstDataCol="1"/>
  <pivotFields count="6">
    <pivotField axis="axisRow" allDrilled="1" subtotalTop="0" showAll="0" sortType="ascending" defaultSubtotal="0" defaultAttributeDrillState="1">
      <items count="7">
        <item x="0"/>
        <item x="1"/>
        <item x="2"/>
        <item x="3"/>
        <item x="4"/>
        <item x="5"/>
        <item x="6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8">
    <i>
      <x v="5"/>
    </i>
    <i>
      <x v="2"/>
    </i>
    <i>
      <x v="3"/>
    </i>
    <i>
      <x v="4"/>
    </i>
    <i>
      <x/>
    </i>
    <i>
      <x v="6"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fld="3" subtotal="count" baseField="0" baseItem="0"/>
  </dataFields>
  <chartFormats count="4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15E7BD-1E60-47FF-9BFF-6ABEB79D714E}" name="Tabela dinâmica3" cacheId="11" applyNumberFormats="0" applyBorderFormats="0" applyFontFormats="0" applyPatternFormats="0" applyAlignmentFormats="0" applyWidthHeightFormats="1" dataCaption="Valores" tag="fe6b1d43-029f-4e6b-bbbb-bc422feb3992" updatedVersion="8" minRefreshableVersion="3" subtotalHiddenItems="1" itemPrintTitles="1" createdVersion="8" indent="0" outline="1" outlineData="1" multipleFieldFilters="0">
  <location ref="E7:E8" firstHeaderRow="1" firstDataRow="1" firstDataCol="0"/>
  <pivotFields count="3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dataFields count="1">
    <dataField fld="2" subtotal="count" baseField="0" baseItem="0"/>
  </dataFields>
  <pivotHierarchies count="91"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2" level="1">
        <member name="[dCalendario].[Mês].&amp;[Abril]"/>
        <member name="[dCalendario].[Mês].&amp;[Fevereiro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dCalendario].[AnoMesSegmen].&amp;[jan/2026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taCorrente_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352CCFB5-5D0C-462C-A6C3-FBC52A1F0BCA}" autoFormatId="16" applyNumberFormats="0" applyBorderFormats="0" applyFontFormats="0" applyPatternFormats="0" applyAlignmentFormats="0" applyWidthHeightFormats="0">
  <queryTableRefresh nextId="33">
    <queryTableFields count="16">
      <queryTableField id="1" name="Data" tableColumnId="1"/>
      <queryTableField id="2" name="Destinatário" tableColumnId="2"/>
      <queryTableField id="3" name="Valor" tableColumnId="3"/>
      <queryTableField id="4" name="Descrição" tableColumnId="4"/>
      <queryTableField id="18" name="Origem" tableColumnId="18"/>
      <queryTableField id="5" name="Tipo" tableColumnId="5"/>
      <queryTableField id="6" name="Categoria" tableColumnId="6"/>
      <queryTableField id="7" name="Saldo" tableColumnId="7"/>
      <queryTableField id="8" name="Mês/Ano" tableColumnId="8"/>
      <queryTableField id="9" name="Mês" tableColumnId="9"/>
      <queryTableField id="10" name="Ano" tableColumnId="10"/>
      <queryTableField id="27" name="Parcela" tableColumnId="26"/>
      <queryTableField id="28" name="Total Parcelas" tableColumnId="27"/>
      <queryTableField id="29" name="Venc. Fatura" tableColumnId="28"/>
      <queryTableField id="30" name="Status" tableColumnId="29"/>
      <queryTableField id="32" name="Mês Seguinte" tableColumnId="3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DBD2EC24-D25B-4021-A231-104EF280286A}" autoFormatId="16" applyNumberFormats="0" applyBorderFormats="0" applyFontFormats="0" applyPatternFormats="0" applyAlignmentFormats="0" applyWidthHeightFormats="0">
  <queryTableRefresh nextId="19">
    <queryTableFields count="13">
      <queryTableField id="1" name="Data" tableColumnId="1"/>
      <queryTableField id="2" name="Destinatário" tableColumnId="2"/>
      <queryTableField id="3" name="Valor" tableColumnId="3"/>
      <queryTableField id="4" name="Parcela" tableColumnId="4"/>
      <queryTableField id="5" name="Total Parcelas" tableColumnId="5"/>
      <queryTableField id="6" name="Venc. Fatura" tableColumnId="6"/>
      <queryTableField id="7" name="Descrição" tableColumnId="7"/>
      <queryTableField id="13" name="Origem" tableColumnId="13"/>
      <queryTableField id="8" name="Categoria" tableColumnId="8"/>
      <queryTableField id="9" name="Status" tableColumnId="9"/>
      <queryTableField id="17" name="Mês Seguinte" tableColumnId="16"/>
      <queryTableField id="15" name="Mês" tableColumnId="14"/>
      <queryTableField id="16" name="Ano" tableColumnId="15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7ED67AF1-0BED-4254-87EA-9394C35E0A01}" sourceName="[dCalendario].[Mês]">
  <pivotTables>
    <pivotTable tabId="7" name="Gasto_cartao"/>
    <pivotTable tabId="7" name="Gasto_Cartao_Mes"/>
    <pivotTable tabId="7" name="Gasto_Cartao_Status"/>
    <pivotTable tabId="7" name="KPIs"/>
    <pivotTable tabId="7" name="MaiorGastoCategoria"/>
    <pivotTable tabId="7" name="Saidas_categoria"/>
    <pivotTable tabId="7" name="Tabela dinâmica5"/>
    <pivotTable tabId="7" name="Tabela dinâmica2"/>
    <pivotTable tabId="7" name="Tabela dinâmica3"/>
    <pivotTable tabId="7" name="Tabela dinâmica4"/>
    <pivotTable tabId="7" name="Tabela dinâmica6"/>
    <pivotTable tabId="7" name="Tabela dinâmica7"/>
    <pivotTable tabId="7" name="Tabela dinâmica8"/>
    <pivotTable tabId="7" name="Tabela dinâmica9"/>
    <pivotTable tabId="7" name="Tabela dinâmica10"/>
    <pivotTable tabId="7" name="Tabela dinâmica11"/>
    <pivotTable tabId="7" name="Tabela dinâmica12"/>
  </pivotTables>
  <data>
    <olap pivotCacheId="1686570495">
      <levels count="2">
        <level uniqueName="[dCalendario].[Mês].[(All)]" sourceCaption="(All)" count="0"/>
        <level uniqueName="[dCalendario].[Mês].[Mês]" sourceCaption="Mês" count="4">
          <ranges>
            <range startItem="0">
              <i n="[dCalendario].[Mês].&amp;[Janeiro]" c="Janeiro"/>
              <i n="[dCalendario].[Mês].&amp;[Fevereiro]" c="Fevereiro"/>
              <i n="[dCalendario].[Mês].&amp;[Março]" c="Março"/>
              <i n="[dCalendario].[Mês].&amp;[Abril]" c="Abril"/>
            </range>
          </ranges>
        </level>
      </levels>
      <selections count="2">
        <selection n="[dCalendario].[Mês].&amp;[Abril]"/>
        <selection n="[dCalendario].[Mês].&amp;[Fevereiro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Calendario].[Mês].[Mês]" count="0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73722C47-0070-40F0-AF3C-0AE0C63F3E41}" cache="SegmentaçãodeDados_Mês" caption="Mês" columnCount="4" showCaption="0" level="1" style="Segmentação meses" rowHeight="4320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9BC996-C7BD-4A7A-8F17-B0A5D55C7647}" name="tbMetas" displayName="tbMetas" ref="A1:B5" totalsRowShown="0">
  <autoFilter ref="A1:B5" xr:uid="{929BC996-C7BD-4A7A-8F17-B0A5D55C7647}"/>
  <tableColumns count="2">
    <tableColumn id="1" xr3:uid="{DF29534C-5752-4188-81E5-0CB6DEABB560}" name="Indicador"/>
    <tableColumn id="2" xr3:uid="{0C2909AF-4275-48C2-980E-99E7CEB9F7CE}" name="Me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9619E-1F47-466F-8C9E-6FD488C752FF}" name="ContaCorrente_" displayName="ContaCorrente_" ref="A1:P59" tableType="queryTable" totalsRowShown="0">
  <autoFilter ref="A1:P59" xr:uid="{3519619E-1F47-466F-8C9E-6FD488C752FF}"/>
  <tableColumns count="16">
    <tableColumn id="1" xr3:uid="{81E47B0A-6F13-421E-9B64-9BFFFC4B40E9}" uniqueName="1" name="Data" queryTableFieldId="1" dataDxfId="48"/>
    <tableColumn id="2" xr3:uid="{1A05983C-11B0-4CD9-BF60-B9282649D6CB}" uniqueName="2" name="Destinatário" queryTableFieldId="2" dataDxfId="47"/>
    <tableColumn id="3" xr3:uid="{0126D3D3-BCE7-45D0-861D-62FA357F0D94}" uniqueName="3" name="Valor" queryTableFieldId="3"/>
    <tableColumn id="4" xr3:uid="{3AA3C9F4-EE71-483E-A91B-959068E46607}" uniqueName="4" name="Descrição" queryTableFieldId="4" dataDxfId="46"/>
    <tableColumn id="18" xr3:uid="{572AE2C6-1050-44A2-9989-700D5A5B8D06}" uniqueName="18" name="Origem" queryTableFieldId="18" dataDxfId="45"/>
    <tableColumn id="5" xr3:uid="{262F4EED-CF1B-4993-B411-96198BBB61F8}" uniqueName="5" name="Tipo" queryTableFieldId="5" dataDxfId="44"/>
    <tableColumn id="6" xr3:uid="{B82DEDAA-6736-47CC-B648-43B83B411C62}" uniqueName="6" name="Categoria" queryTableFieldId="6" dataDxfId="43"/>
    <tableColumn id="7" xr3:uid="{553440CB-89CA-4D7F-9A63-B672F5851632}" uniqueName="7" name="Saldo" queryTableFieldId="7"/>
    <tableColumn id="8" xr3:uid="{A32688A8-F8C4-4C54-A105-8F571459820B}" uniqueName="8" name="Mês/Ano" queryTableFieldId="8" dataDxfId="42"/>
    <tableColumn id="9" xr3:uid="{97DB3E32-E210-4F45-B7D5-C907153C1A31}" uniqueName="9" name="Mês" queryTableFieldId="9"/>
    <tableColumn id="10" xr3:uid="{938650D7-65F0-4F3E-8EFA-EDDD74599888}" uniqueName="10" name="Ano" queryTableFieldId="10"/>
    <tableColumn id="26" xr3:uid="{64500F6C-B0C9-4293-B4D7-67C11A256F46}" uniqueName="26" name="Parcela" queryTableFieldId="27"/>
    <tableColumn id="27" xr3:uid="{861D7A85-D9E9-4B7A-BF2E-C8D3AA60CA92}" uniqueName="27" name="Total Parcelas" queryTableFieldId="28"/>
    <tableColumn id="28" xr3:uid="{37D4AA9C-3837-47D0-8A6B-50BC91880AED}" uniqueName="28" name="Venc. Fatura" queryTableFieldId="29" dataDxfId="41"/>
    <tableColumn id="29" xr3:uid="{43DDD1C8-5091-417C-B93A-B5B8ED7D2FAC}" uniqueName="29" name="Status" queryTableFieldId="30" dataDxfId="40"/>
    <tableColumn id="31" xr3:uid="{253CDC40-1B43-41DA-8AB9-2407D510A51A}" uniqueName="31" name="Mês Seguinte" queryTableFieldId="32" dataDxfId="3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57AA57-C1DB-4DC3-A006-D34F7B0FDC3E}" name="dCalendario" displayName="dCalendario" ref="A1:G121" totalsRowShown="0">
  <autoFilter ref="A1:G121" xr:uid="{5757AA57-C1DB-4DC3-A006-D34F7B0FDC3E}"/>
  <tableColumns count="7">
    <tableColumn id="1" xr3:uid="{AF2803C5-29E7-4678-A1F8-D4D2F860C55A}" name="Data" dataDxfId="38">
      <calculatedColumnFormula>A1+1</calculatedColumnFormula>
    </tableColumn>
    <tableColumn id="2" xr3:uid="{AA61E296-8169-4800-B73D-770545616DBE}" name="Ano">
      <calculatedColumnFormula>YEAR(A2)</calculatedColumnFormula>
    </tableColumn>
    <tableColumn id="3" xr3:uid="{91CB1A84-7884-440F-AB0F-F0E9A504E6FE}" name="MesNum">
      <calculatedColumnFormula>MONTH(A2)</calculatedColumnFormula>
    </tableColumn>
    <tableColumn id="4" xr3:uid="{55D8737F-6F3D-4857-8AFE-54FA95A89104}" name="Mês" dataDxfId="37">
      <calculatedColumnFormula>PROPER(TEXT(A2,"mmmm"))</calculatedColumnFormula>
    </tableColumn>
    <tableColumn id="5" xr3:uid="{E04655AD-54C3-4CD1-97CC-667847C9618F}" name="Mês Abrev">
      <calculatedColumnFormula>TEXT(A2,"mmm")</calculatedColumnFormula>
    </tableColumn>
    <tableColumn id="6" xr3:uid="{6B5A305A-9C65-47BE-B84A-7D28A7D860CB}" name="AnoMes" dataDxfId="36">
      <calculatedColumnFormula>PROPER(TEXT(A2,"mmmm")&amp;"/"&amp;YEAR(A2))</calculatedColumnFormula>
    </tableColumn>
    <tableColumn id="7" xr3:uid="{0FA39B6E-7DB6-455A-ADB1-639588B92A9C}" name="Trimestre">
      <calculatedColumnFormula>"T"&amp;INT((MONTH(A2)-1)/3)+1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F54BD4F-8C3B-452B-9015-AEB14FA75CF4}" name="CartaoCredito" displayName="CartaoCredito" ref="A1:M27" tableType="queryTable" totalsRowShown="0">
  <autoFilter ref="A1:M27" xr:uid="{DF54BD4F-8C3B-452B-9015-AEB14FA75CF4}"/>
  <tableColumns count="13">
    <tableColumn id="1" xr3:uid="{F8B39726-A97D-4ED9-8D57-3FDEAD49E941}" uniqueName="1" name="Data" queryTableFieldId="1" dataDxfId="35"/>
    <tableColumn id="2" xr3:uid="{55C2FD66-1E00-4AC2-8024-AAD4ECFDB9A5}" uniqueName="2" name="Destinatário" queryTableFieldId="2" dataDxfId="34"/>
    <tableColumn id="3" xr3:uid="{2C720AE2-3488-488C-A92A-EF938A579BE9}" uniqueName="3" name="Valor" queryTableFieldId="3"/>
    <tableColumn id="4" xr3:uid="{CC57D86D-2C76-4CEE-8D90-8CA69270B6FB}" uniqueName="4" name="Parcela" queryTableFieldId="4"/>
    <tableColumn id="5" xr3:uid="{6D840F84-579C-4DED-8523-537417516157}" uniqueName="5" name="Total Parcelas" queryTableFieldId="5"/>
    <tableColumn id="6" xr3:uid="{C3563459-AF2C-475C-AD85-4089173223C8}" uniqueName="6" name="Venc. Fatura" queryTableFieldId="6" dataDxfId="33"/>
    <tableColumn id="7" xr3:uid="{0E7F3E31-CD6B-44AA-84BB-B533D9947E1F}" uniqueName="7" name="Descrição" queryTableFieldId="7" dataDxfId="32"/>
    <tableColumn id="13" xr3:uid="{BAB0F514-345C-4B1D-BC70-5DBCD70AE242}" uniqueName="13" name="Origem" queryTableFieldId="13" dataDxfId="31"/>
    <tableColumn id="8" xr3:uid="{C504F537-C575-4A48-871D-D42EC4605CD7}" uniqueName="8" name="Categoria" queryTableFieldId="8" dataDxfId="30"/>
    <tableColumn id="9" xr3:uid="{C521C3E3-CEBD-4FD5-96AC-DFDDCF6A90E1}" uniqueName="9" name="Status" queryTableFieldId="9" dataDxfId="29"/>
    <tableColumn id="16" xr3:uid="{0C073D20-84B9-4DE2-93E5-53F08FDB48B4}" uniqueName="16" name="Mês Seguinte" queryTableFieldId="17" dataDxfId="28"/>
    <tableColumn id="14" xr3:uid="{9BB8F1F7-2C19-496D-9B0A-E8407CB6BE99}" uniqueName="14" name="Mês" queryTableFieldId="15"/>
    <tableColumn id="15" xr3:uid="{3CB1C1ED-5C5C-4798-BECF-17BFD264CA0B}" uniqueName="15" name="Ano" queryTableFieldId="1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22DD08-08E7-47F5-A3E5-34714B88ADA7}" name="ContaCorrente" displayName="ContaCorrente" ref="A4:J29" totalsRowShown="0" headerRowDxfId="27" headerRowBorderDxfId="26" tableBorderDxfId="25" totalsRowBorderDxfId="24">
  <autoFilter ref="A4:J29" xr:uid="{9E22DD08-08E7-47F5-A3E5-34714B88ADA7}"/>
  <tableColumns count="10">
    <tableColumn id="1" xr3:uid="{08BDD035-CC3B-448D-B6A1-61989AA824D3}" name="Data" dataDxfId="23"/>
    <tableColumn id="2" xr3:uid="{C6C4463F-DDF5-498D-A638-804E8318B8FC}" name="Destinatário" dataDxfId="22"/>
    <tableColumn id="3" xr3:uid="{D729B44C-E8F0-43E2-83F3-7ACB0DE88D00}" name="Valor" dataDxfId="21" dataCellStyle="Moeda"/>
    <tableColumn id="4" xr3:uid="{1E093BE7-6439-471C-8B85-07A080353243}" name="Descrição" dataDxfId="20"/>
    <tableColumn id="6" xr3:uid="{1FABEF1D-9D2A-4C1B-AAD7-AD33B5F03144}" name="Tipo" dataDxfId="19">
      <calculatedColumnFormula>IF(C5&gt;0,"Entrada","Saída")</calculatedColumnFormula>
    </tableColumn>
    <tableColumn id="7" xr3:uid="{013F6F3E-63BB-48AB-AFCF-F8D21ECB5E49}" name="Categoria" dataDxfId="18">
      <calculatedColumnFormula>IF(OR(ISNUMBER(SEARCH("Supermercado",B5)),ISNUMBER(SEARCH("iFood",B5)),ISNUMBER(SEARCH("Restaurante",B5))),"Alimentação",IF(OR(ISNUMBER(SEARCH("Salário",B5)),ISNUMBER(SEARCH("recebida",D5))),"Receitas",IF(ISNUMBER(SEARCH("enviada",D5)),"Transferências",IF(OR(ISNUMBER(SEARCH("Luz",B5)),ISNUMBER(SEARCH("Água",B5)),ISNUMBER(SEARCH("Internet",B5)),ISNUMBER(SEARCH("Aluguel",B5))),"Moradia",IF(OR(ISNUMBER(SEARCH("Posto",B5)),ISNUMBER(SEARCH("Uber",B5))),"Transporte",IF(OR(ISNUMBER(SEARCH("Netflix",B5)),ISNUMBER(SEARCH("Spotify",B5)),ISNUMBER(SEARCH("Academia",B5))),"Lazer/Assinaturas",IF(ISNUMBER(SEARCH("Farmácia",B5)),"Saúde",IF(ISNUMBER(SEARCH("Mercado Livre",B5)),"Compras Online",IF(ISNUMBER(SEARCH("Saque",B5)),"Saque","Outros")))))))))</calculatedColumnFormula>
    </tableColumn>
    <tableColumn id="8" xr3:uid="{3398D243-EB8C-4DD1-9F32-487C6C708F2E}" name="Saldo" dataDxfId="17" dataCellStyle="Moeda">
      <calculatedColumnFormula>SUM($C$5:C5)</calculatedColumnFormula>
    </tableColumn>
    <tableColumn id="9" xr3:uid="{10470177-A4CB-4A3B-A400-051851B509DB}" name="Mês/Ano" dataDxfId="16">
      <calculatedColumnFormula>UPPER(TEXT(A5,"mmm")&amp;"/"&amp;YEAR(A5))</calculatedColumnFormula>
    </tableColumn>
    <tableColumn id="11" xr3:uid="{A66EA905-4479-4433-BFE3-EB3D32475684}" name="Mês" dataDxfId="15">
      <calculatedColumnFormula>MONTH(ContaCorrente[[#This Row],[Data]])</calculatedColumnFormula>
    </tableColumn>
    <tableColumn id="12" xr3:uid="{FF82398C-499B-4AE5-BFC8-2B377A635B6B}" name="Ano" dataDxfId="14">
      <calculatedColumnFormula>YEAR(ContaCorrente[[#This Row],[Data]])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33D6E7E-F2A8-4356-B33E-69F3F9F558BC}" name="Tabela3789" displayName="Tabela3789" ref="L4:W30" totalsRowShown="0" headerRowDxfId="13" headerRowBorderDxfId="12" tableBorderDxfId="11">
  <autoFilter ref="L4:W30" xr:uid="{233D6E7E-F2A8-4356-B33E-69F3F9F558BC}"/>
  <tableColumns count="12">
    <tableColumn id="1" xr3:uid="{503C727A-5E1C-4748-9BB6-D2C07EAC23C3}" name="Data" dataDxfId="10"/>
    <tableColumn id="2" xr3:uid="{B4F502CE-7528-4B55-8B7F-7050FC266AB7}" name="Estabelecimento" dataDxfId="9"/>
    <tableColumn id="3" xr3:uid="{2AC72AAF-47FD-4836-9476-BEC32C985ECF}" name="Valor" dataDxfId="8" dataCellStyle="Moeda"/>
    <tableColumn id="4" xr3:uid="{8CE5C431-2E9F-464B-827D-CC82B1C6B3D9}" name="Parcela">
      <calculatedColumnFormula>IF(R5="Assinatura",COUNTIF($B5:M$7,M5),IF(R5="Compra à vista","1/1",COUNTIF($B5:M$7,M5)&amp;"/"&amp;P5))</calculatedColumnFormula>
    </tableColumn>
    <tableColumn id="5" xr3:uid="{084E3FB2-BE4A-44C5-B39F-8F422352C73B}" name="Total Parcelas" dataDxfId="7"/>
    <tableColumn id="6" xr3:uid="{738E4F91-ACBF-43F2-9F44-F15FC8A814C4}" name="Venc. Fatura" dataDxfId="6">
      <calculatedColumnFormula>Tabela3789[[#This Row],[Mês Seguinte]]&amp;"/"&amp;Tabela3789[[#This Row],[Ano]]</calculatedColumnFormula>
    </tableColumn>
    <tableColumn id="7" xr3:uid="{52995080-0B2A-4315-884D-440997BBC7C3}" name="Descrição" dataDxfId="5"/>
    <tableColumn id="8" xr3:uid="{809A28B9-C2C2-4A44-9323-D9BB1E35CF96}" name="Categoria" dataDxfId="4"/>
    <tableColumn id="9" xr3:uid="{3829E8CC-2766-42D7-8178-EBF5C82F617F}" name="Status" dataDxfId="3"/>
    <tableColumn id="11" xr3:uid="{983D0CB3-2A7F-4D97-B946-16C4324532BC}" name="Mês Seguinte" dataDxfId="2">
      <calculatedColumnFormula>UPPER(TEXT(EDATE(Tabela3789[[#This Row],[Data]],1),"MMM"))</calculatedColumnFormula>
    </tableColumn>
    <tableColumn id="12" xr3:uid="{F697DE61-C7AA-4CBF-8F1C-4AA685B72C62}" name="Mês" dataDxfId="1">
      <calculatedColumnFormula>MONTH(Tabela3789[[#This Row],[Data]])</calculatedColumnFormula>
    </tableColumn>
    <tableColumn id="13" xr3:uid="{F4C53271-BA20-46A4-AE73-6F38322EE2CC}" name="Ano" dataDxfId="0">
      <calculatedColumnFormula>YEAR(Tabela3789[[#This Row],[Data]])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8C340-5898-49CB-A0D8-812BBB2FD0CC}">
  <sheetPr codeName="Planilha1"/>
  <dimension ref="A1"/>
  <sheetViews>
    <sheetView showGridLines="0" showRowColHeaders="0" tabSelected="1" zoomScaleNormal="100" workbookViewId="0">
      <selection activeCell="AE14" sqref="AE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sheetData/>
  <sheetProtection algorithmName="SHA-512" hashValue="wEhZPgbtoWFyvzPFRjNik3MPiw2MiGNREwOuiLP4aBeoGw6SSPW/QB5QWzZzLr5ftt089nheu2HzFi0pjZX9tg==" saltValue="GM4f0jYZd1VS3G5/uNZovw==" spinCount="100000" sheet="1" scenarios="1" selectLockedCells="1" autoFilter="0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D8D6D-1008-46D8-A493-42ECA91F63ED}">
  <sheetPr codeName="Planilha2"/>
  <dimension ref="A1:AM25"/>
  <sheetViews>
    <sheetView workbookViewId="0">
      <selection activeCell="A22" sqref="A22"/>
    </sheetView>
  </sheetViews>
  <sheetFormatPr defaultRowHeight="15" x14ac:dyDescent="0.25"/>
  <cols>
    <col min="1" max="1" width="37.28515625" bestFit="1" customWidth="1"/>
    <col min="2" max="2" width="57.5703125" bestFit="1" customWidth="1"/>
    <col min="3" max="3" width="25.140625" bestFit="1" customWidth="1"/>
    <col min="4" max="4" width="26.5703125" bestFit="1" customWidth="1"/>
    <col min="5" max="5" width="25.28515625" bestFit="1" customWidth="1"/>
    <col min="6" max="6" width="15" bestFit="1" customWidth="1"/>
    <col min="7" max="7" width="18.42578125" bestFit="1" customWidth="1"/>
    <col min="8" max="8" width="13.42578125" bestFit="1" customWidth="1"/>
    <col min="9" max="9" width="18.42578125" bestFit="1" customWidth="1"/>
    <col min="10" max="10" width="13.85546875" bestFit="1" customWidth="1"/>
    <col min="11" max="11" width="11.7109375" bestFit="1" customWidth="1"/>
    <col min="12" max="12" width="27" bestFit="1" customWidth="1"/>
    <col min="13" max="13" width="31" bestFit="1" customWidth="1"/>
    <col min="14" max="14" width="10.7109375" bestFit="1" customWidth="1"/>
    <col min="15" max="15" width="23.42578125" bestFit="1" customWidth="1"/>
    <col min="16" max="16" width="11.7109375" bestFit="1" customWidth="1"/>
    <col min="17" max="17" width="18.42578125" bestFit="1" customWidth="1"/>
    <col min="18" max="18" width="26.140625" bestFit="1" customWidth="1"/>
    <col min="19" max="19" width="18.42578125" bestFit="1" customWidth="1"/>
    <col min="20" max="20" width="25.28515625" bestFit="1" customWidth="1"/>
    <col min="21" max="21" width="18.85546875" bestFit="1" customWidth="1"/>
    <col min="22" max="22" width="25.28515625" bestFit="1" customWidth="1"/>
    <col min="23" max="23" width="22.7109375" bestFit="1" customWidth="1"/>
    <col min="24" max="25" width="11.5703125" bestFit="1" customWidth="1"/>
    <col min="26" max="26" width="32.42578125" bestFit="1" customWidth="1"/>
    <col min="27" max="27" width="11.5703125" bestFit="1" customWidth="1"/>
    <col min="28" max="28" width="21.42578125" bestFit="1" customWidth="1"/>
    <col min="29" max="29" width="20.85546875" bestFit="1" customWidth="1"/>
    <col min="30" max="30" width="11.5703125" bestFit="1" customWidth="1"/>
    <col min="32" max="32" width="18.42578125" bestFit="1" customWidth="1"/>
    <col min="33" max="33" width="11.5703125" bestFit="1" customWidth="1"/>
    <col min="35" max="35" width="15.140625" customWidth="1"/>
    <col min="36" max="36" width="15.42578125" bestFit="1" customWidth="1"/>
    <col min="37" max="37" width="15.85546875" customWidth="1"/>
    <col min="38" max="38" width="15.42578125" bestFit="1" customWidth="1"/>
    <col min="39" max="39" width="14.28515625" customWidth="1"/>
  </cols>
  <sheetData>
    <row r="1" spans="1:39" x14ac:dyDescent="0.25">
      <c r="A1" t="s">
        <v>97</v>
      </c>
      <c r="B1" t="s">
        <v>98</v>
      </c>
      <c r="C1" t="s">
        <v>99</v>
      </c>
      <c r="D1" t="s">
        <v>108</v>
      </c>
      <c r="E1" t="s">
        <v>107</v>
      </c>
      <c r="M1" s="50" t="s">
        <v>70</v>
      </c>
      <c r="N1" t="s">
        <v>115</v>
      </c>
      <c r="O1" t="s">
        <v>114</v>
      </c>
      <c r="P1" t="s">
        <v>98</v>
      </c>
      <c r="Q1" t="s">
        <v>106</v>
      </c>
      <c r="S1" s="50" t="s">
        <v>70</v>
      </c>
      <c r="T1" t="s">
        <v>106</v>
      </c>
      <c r="W1" s="51"/>
      <c r="Z1" s="51"/>
      <c r="AC1" s="51"/>
      <c r="AF1" s="51"/>
      <c r="AI1" s="1"/>
    </row>
    <row r="2" spans="1:39" x14ac:dyDescent="0.25">
      <c r="A2" s="76">
        <v>11000</v>
      </c>
      <c r="B2" s="76">
        <v>4726.59</v>
      </c>
      <c r="C2" s="70">
        <v>0.58612242681005922</v>
      </c>
      <c r="D2" s="76">
        <v>811.17000000000007</v>
      </c>
      <c r="E2" s="76">
        <v>5510.38</v>
      </c>
      <c r="M2" s="49" t="s">
        <v>54</v>
      </c>
      <c r="O2">
        <v>78.5</v>
      </c>
      <c r="P2" s="76">
        <v>78.5</v>
      </c>
      <c r="Q2" s="76">
        <v>1841.1</v>
      </c>
      <c r="S2" s="49" t="s">
        <v>152</v>
      </c>
      <c r="T2" s="76">
        <v>763.03</v>
      </c>
      <c r="AI2" s="1"/>
      <c r="AJ2" s="1"/>
      <c r="AK2" s="1"/>
      <c r="AL2" s="1"/>
      <c r="AM2" s="1"/>
    </row>
    <row r="3" spans="1:39" x14ac:dyDescent="0.25">
      <c r="D3" s="51"/>
      <c r="E3" s="51"/>
      <c r="I3" s="50" t="s">
        <v>70</v>
      </c>
      <c r="J3" t="s">
        <v>97</v>
      </c>
      <c r="K3" t="s">
        <v>98</v>
      </c>
      <c r="M3" s="49" t="s">
        <v>43</v>
      </c>
      <c r="O3">
        <v>99.9</v>
      </c>
      <c r="P3" s="76">
        <v>99.9</v>
      </c>
      <c r="S3" s="49" t="s">
        <v>154</v>
      </c>
      <c r="T3" s="76">
        <v>1078.07</v>
      </c>
      <c r="AJ3" s="3"/>
      <c r="AK3" s="3"/>
      <c r="AL3" s="3"/>
      <c r="AM3" s="3"/>
    </row>
    <row r="4" spans="1:39" x14ac:dyDescent="0.25">
      <c r="A4" t="s">
        <v>111</v>
      </c>
      <c r="C4" t="s">
        <v>113</v>
      </c>
      <c r="E4" t="s">
        <v>96</v>
      </c>
      <c r="I4" s="49" t="s">
        <v>119</v>
      </c>
      <c r="J4" s="76">
        <v>5500</v>
      </c>
      <c r="K4" s="76">
        <v>1241.95</v>
      </c>
      <c r="M4" s="49" t="s">
        <v>67</v>
      </c>
      <c r="O4">
        <v>435.95</v>
      </c>
      <c r="P4" s="76">
        <v>435.95</v>
      </c>
      <c r="S4" s="49" t="s">
        <v>71</v>
      </c>
      <c r="T4" s="76">
        <v>1841.1</v>
      </c>
      <c r="AJ4" s="3"/>
      <c r="AK4" s="3"/>
      <c r="AL4" s="3"/>
      <c r="AM4" s="3"/>
    </row>
    <row r="5" spans="1:39" x14ac:dyDescent="0.25">
      <c r="A5" t="s">
        <v>153</v>
      </c>
      <c r="C5" t="s">
        <v>155</v>
      </c>
      <c r="E5" s="76">
        <v>12916.04</v>
      </c>
      <c r="I5" s="49" t="s">
        <v>118</v>
      </c>
      <c r="J5" s="76">
        <v>5500</v>
      </c>
      <c r="K5" s="76">
        <v>2692.77</v>
      </c>
      <c r="M5" s="49" t="s">
        <v>33</v>
      </c>
      <c r="O5">
        <v>500</v>
      </c>
      <c r="P5" s="76">
        <v>500</v>
      </c>
      <c r="AJ5" s="3"/>
      <c r="AK5" s="3"/>
      <c r="AL5" s="3"/>
      <c r="AM5" s="3"/>
    </row>
    <row r="6" spans="1:39" x14ac:dyDescent="0.25">
      <c r="I6" s="49" t="s">
        <v>120</v>
      </c>
      <c r="J6" s="76">
        <v>6300</v>
      </c>
      <c r="K6" s="76">
        <v>3915.42</v>
      </c>
      <c r="M6" s="49" t="s">
        <v>50</v>
      </c>
      <c r="O6">
        <v>520.4</v>
      </c>
      <c r="P6" s="76">
        <v>520.4</v>
      </c>
      <c r="AJ6" s="3"/>
      <c r="AK6" s="3"/>
      <c r="AL6" s="3"/>
      <c r="AM6" s="3"/>
    </row>
    <row r="7" spans="1:39" x14ac:dyDescent="0.25">
      <c r="A7" t="s">
        <v>107</v>
      </c>
      <c r="E7" t="s">
        <v>121</v>
      </c>
      <c r="I7" s="49" t="s">
        <v>117</v>
      </c>
      <c r="J7" s="76">
        <v>5500</v>
      </c>
      <c r="K7" s="76">
        <v>2033.82</v>
      </c>
      <c r="M7" s="49" t="s">
        <v>68</v>
      </c>
      <c r="O7">
        <v>1200</v>
      </c>
      <c r="P7" s="76">
        <v>1200</v>
      </c>
      <c r="AJ7" s="47"/>
      <c r="AK7" s="47"/>
      <c r="AL7" s="47"/>
      <c r="AM7" s="47"/>
    </row>
    <row r="8" spans="1:39" x14ac:dyDescent="0.25">
      <c r="A8" s="76">
        <v>12153.01</v>
      </c>
      <c r="C8" t="s">
        <v>124</v>
      </c>
      <c r="E8" s="70">
        <v>0.12243887445887447</v>
      </c>
      <c r="I8" s="49" t="s">
        <v>71</v>
      </c>
      <c r="J8" s="76">
        <v>22800</v>
      </c>
      <c r="K8" s="76">
        <v>9883.9599999999991</v>
      </c>
      <c r="M8" s="49" t="s">
        <v>103</v>
      </c>
      <c r="N8">
        <v>1891.84</v>
      </c>
      <c r="P8" s="76">
        <v>1891.84</v>
      </c>
      <c r="AI8" s="1"/>
      <c r="AJ8" s="52"/>
      <c r="AK8" s="52"/>
      <c r="AL8" s="52"/>
      <c r="AM8" s="52"/>
    </row>
    <row r="9" spans="1:39" x14ac:dyDescent="0.25">
      <c r="C9" s="70">
        <v>0.20717317682394226</v>
      </c>
      <c r="L9" s="4"/>
      <c r="M9" s="49" t="s">
        <v>71</v>
      </c>
      <c r="N9">
        <v>4726.59</v>
      </c>
      <c r="P9" s="76">
        <v>4726.59</v>
      </c>
      <c r="AI9" s="1"/>
      <c r="AJ9" s="52"/>
      <c r="AK9" s="3"/>
      <c r="AL9" s="3"/>
      <c r="AM9" s="3"/>
    </row>
    <row r="10" spans="1:39" x14ac:dyDescent="0.25">
      <c r="A10" t="s">
        <v>129</v>
      </c>
      <c r="C10" t="s">
        <v>131</v>
      </c>
      <c r="E10" t="s">
        <v>122</v>
      </c>
      <c r="L10" s="4"/>
      <c r="AJ10" s="43"/>
      <c r="AK10" s="43"/>
      <c r="AL10" s="43"/>
      <c r="AM10" s="43"/>
    </row>
    <row r="11" spans="1:39" x14ac:dyDescent="0.25">
      <c r="A11" s="70">
        <v>0.74603174603174605</v>
      </c>
      <c r="C11" s="70">
        <v>1.6308238767413967</v>
      </c>
      <c r="E11" s="70">
        <v>0.50094363636363637</v>
      </c>
      <c r="L11" s="4"/>
    </row>
    <row r="12" spans="1:39" x14ac:dyDescent="0.25">
      <c r="L12" s="4"/>
    </row>
    <row r="13" spans="1:39" x14ac:dyDescent="0.25">
      <c r="A13" t="s">
        <v>142</v>
      </c>
      <c r="C13" t="s">
        <v>143</v>
      </c>
      <c r="E13" t="s">
        <v>149</v>
      </c>
      <c r="G13" t="s">
        <v>150</v>
      </c>
      <c r="L13" s="4"/>
    </row>
    <row r="14" spans="1:39" x14ac:dyDescent="0.25">
      <c r="A14" t="s">
        <v>103</v>
      </c>
      <c r="C14" s="76">
        <v>1891.84</v>
      </c>
      <c r="E14" s="69">
        <v>46054</v>
      </c>
      <c r="G14" s="69">
        <v>46142</v>
      </c>
      <c r="L14" s="4"/>
    </row>
    <row r="15" spans="1:39" x14ac:dyDescent="0.25">
      <c r="L15" s="4"/>
    </row>
    <row r="16" spans="1:39" x14ac:dyDescent="0.25">
      <c r="L16" s="4"/>
      <c r="P16" s="4"/>
    </row>
    <row r="17" spans="1:17" x14ac:dyDescent="0.25">
      <c r="L17" s="4"/>
      <c r="P17" s="4"/>
    </row>
    <row r="18" spans="1:17" x14ac:dyDescent="0.25">
      <c r="L18" s="4"/>
      <c r="P18" s="4"/>
    </row>
    <row r="19" spans="1:17" x14ac:dyDescent="0.25">
      <c r="A19" t="s">
        <v>100</v>
      </c>
      <c r="B19" t="s">
        <v>97</v>
      </c>
      <c r="C19" t="s">
        <v>101</v>
      </c>
      <c r="D19" t="s">
        <v>127</v>
      </c>
      <c r="E19" t="s">
        <v>125</v>
      </c>
      <c r="F19" t="s">
        <v>141</v>
      </c>
      <c r="G19" t="s">
        <v>151</v>
      </c>
      <c r="H19" t="s">
        <v>150</v>
      </c>
      <c r="L19" s="4"/>
      <c r="P19" s="4"/>
    </row>
    <row r="20" spans="1:17" ht="26.25" x14ac:dyDescent="0.4">
      <c r="A20" s="71">
        <f>GETPIVOTDATA("[Measures].[Saldo Atual]",$E$4)</f>
        <v>12916.04</v>
      </c>
      <c r="B20" s="71">
        <f>GETPIVOTDATA("[Measures].[Total Entradas]",$A$1)</f>
        <v>11000</v>
      </c>
      <c r="C20" s="71">
        <f>GETPIVOTDATA("[Measures].[Total Saidas]",$A$1)</f>
        <v>4726.59</v>
      </c>
      <c r="D20" s="71">
        <f>GETPIVOTDATA("[Measures].[Total Movimentado]",$A$1)</f>
        <v>5510.38</v>
      </c>
      <c r="E20" s="75">
        <f>GETPIVOTDATA("[Measures].[Total Saidas Mes Anterior em %]",$C$8)</f>
        <v>0.20717317682394226</v>
      </c>
      <c r="F20">
        <f>GETPIVOTDATA("[Measures].[Quantidade Meses Selecionados]",$M$20)</f>
        <v>2</v>
      </c>
      <c r="G20" s="2">
        <f>GETPIVOTDATA("[Measures].[Menor Data Selecionada]",$E$13)</f>
        <v>46054</v>
      </c>
      <c r="H20" s="2">
        <f>GETPIVOTDATA("[Measures].[Maior Data Selecionada]",$G$13)</f>
        <v>46142</v>
      </c>
      <c r="L20" s="4"/>
      <c r="M20" t="s">
        <v>140</v>
      </c>
      <c r="P20" s="4"/>
    </row>
    <row r="21" spans="1:17" x14ac:dyDescent="0.25">
      <c r="A21" t="s">
        <v>126</v>
      </c>
      <c r="B21" t="s">
        <v>109</v>
      </c>
      <c r="C21" t="s">
        <v>110</v>
      </c>
      <c r="D21" t="s">
        <v>105</v>
      </c>
      <c r="E21" t="s">
        <v>128</v>
      </c>
      <c r="L21" s="4"/>
      <c r="M21">
        <v>2</v>
      </c>
      <c r="P21" s="4"/>
    </row>
    <row r="22" spans="1:17" ht="26.25" x14ac:dyDescent="0.4">
      <c r="A22" s="71">
        <f>GETPIVOTDATA("[Measures].[Variacao Gastos Mensal ABS]",$A$1)</f>
        <v>811.17000000000007</v>
      </c>
      <c r="B22" s="71" t="str">
        <f>GETPIVOTDATA("[Measures].[A Pagar Texto]",$A$4)</f>
        <v>R$ 763,03</v>
      </c>
      <c r="C22" s="71">
        <f>GETPIVOTDATA("[Measures].[Total Movimentado]",$A$7)</f>
        <v>12153.01</v>
      </c>
      <c r="D22" s="73">
        <f>GETPIVOTDATA("[Measures].[% Economia]",$E$10)</f>
        <v>0.50094363636363637</v>
      </c>
      <c r="E22" s="75">
        <f>GETPIVOTDATA("[Measures].[Total Entradas Mes Anterior em %]",$A$10)</f>
        <v>0.74603174603174605</v>
      </c>
      <c r="L22" s="4"/>
      <c r="P22" s="4"/>
      <c r="Q22" s="50" t="s">
        <v>70</v>
      </c>
    </row>
    <row r="23" spans="1:17" x14ac:dyDescent="0.25">
      <c r="A23" t="s">
        <v>112</v>
      </c>
      <c r="B23" t="s">
        <v>116</v>
      </c>
      <c r="C23" t="s">
        <v>130</v>
      </c>
      <c r="D23" t="s">
        <v>123</v>
      </c>
      <c r="E23" t="s">
        <v>144</v>
      </c>
      <c r="F23" t="s">
        <v>145</v>
      </c>
      <c r="G23" t="s">
        <v>146</v>
      </c>
      <c r="L23" s="4"/>
      <c r="P23" s="4"/>
      <c r="Q23" s="49" t="s">
        <v>118</v>
      </c>
    </row>
    <row r="24" spans="1:17" ht="26.25" x14ac:dyDescent="0.4">
      <c r="A24" s="71" t="str">
        <f>GETPIVOTDATA("[Measures].[Categoria Top 1 Gasto Formatada]",$C$4)</f>
        <v>Cartão (R$ 1.891,84)</v>
      </c>
      <c r="B24" s="74" t="str">
        <f>IF(
F20=1,
"Dashboard Financeiro — " &amp; PROPER(TEXT(H20,"mmmm/aaaa")),
IF(
F20=((YEAR(H20)-YEAR(G20))*12+MONTH(H20)-MONTH(G20)+1),
IF(
YEAR(G20)=YEAR(H20),
"Dashboard Financeiro — " &amp; PROPER(TEXT(G20,"mmm")) &amp; "–" &amp; PROPER(TEXT(H20,"mmm/aaaa")),
"Dashboard Financeiro — " &amp; PROPER(TEXT(G20,"mmm/yyyy")) &amp; " – " &amp; PROPER(TEXT(H20,"mmm/aaaa"))
),
"Dashboard Financeiro — Meses Selecionados"
)
)</f>
        <v>Dashboard Financeiro — Meses Selecionados</v>
      </c>
      <c r="C24" s="73">
        <f>GETPIVOTDATA("[Measures].[Balanco Mensal Mes Anterior %]",$C$10)</f>
        <v>1.6308238767413967</v>
      </c>
      <c r="D24" s="75">
        <f>GETPIVOTDATA("[Measures].[Variacao Economia]",$E$7)</f>
        <v>0.12243887445887447</v>
      </c>
      <c r="E24" t="str">
        <f>GETPIVOTDATA("[Measures].[Nome Da Categoria Com Maior Gasto]",$A$13)</f>
        <v>Cartão</v>
      </c>
      <c r="F24" s="3">
        <f>GETPIVOTDATA("[Measures].[Maior Valor Gasto Por Categoria]",$C$13)</f>
        <v>1891.84</v>
      </c>
      <c r="Q24" s="49" t="s">
        <v>117</v>
      </c>
    </row>
    <row r="25" spans="1:17" ht="26.25" x14ac:dyDescent="0.4">
      <c r="A25" s="71"/>
      <c r="Q25" s="49" t="s">
        <v>71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BE46C-EB22-476A-B77E-554132212A93}">
  <sheetPr codeName="Planilha7"/>
  <dimension ref="A1:B40"/>
  <sheetViews>
    <sheetView workbookViewId="0">
      <selection activeCell="I20" sqref="I20"/>
    </sheetView>
  </sheetViews>
  <sheetFormatPr defaultRowHeight="15" x14ac:dyDescent="0.25"/>
  <cols>
    <col min="1" max="1" width="16" bestFit="1" customWidth="1"/>
    <col min="2" max="2" width="14.28515625" bestFit="1" customWidth="1"/>
  </cols>
  <sheetData>
    <row r="1" spans="1:2" x14ac:dyDescent="0.25">
      <c r="A1" t="s">
        <v>132</v>
      </c>
      <c r="B1" t="s">
        <v>133</v>
      </c>
    </row>
    <row r="2" spans="1:2" x14ac:dyDescent="0.25">
      <c r="A2" t="s">
        <v>98</v>
      </c>
      <c r="B2">
        <v>2500</v>
      </c>
    </row>
    <row r="3" spans="1:2" x14ac:dyDescent="0.25">
      <c r="A3" t="s">
        <v>97</v>
      </c>
      <c r="B3">
        <v>5500</v>
      </c>
    </row>
    <row r="4" spans="1:2" x14ac:dyDescent="0.25">
      <c r="A4" t="s">
        <v>134</v>
      </c>
      <c r="B4" s="77">
        <v>0.4</v>
      </c>
    </row>
    <row r="5" spans="1:2" x14ac:dyDescent="0.25">
      <c r="A5" t="s">
        <v>135</v>
      </c>
      <c r="B5">
        <v>2500</v>
      </c>
    </row>
    <row r="30" spans="1:2" x14ac:dyDescent="0.25">
      <c r="A30" t="s">
        <v>136</v>
      </c>
      <c r="B30">
        <v>2500</v>
      </c>
    </row>
    <row r="31" spans="1:2" x14ac:dyDescent="0.25">
      <c r="A31" t="s">
        <v>137</v>
      </c>
      <c r="B31">
        <v>5500</v>
      </c>
    </row>
    <row r="32" spans="1:2" x14ac:dyDescent="0.25">
      <c r="A32" t="s">
        <v>138</v>
      </c>
      <c r="B32" s="78">
        <v>0.55000000000000004</v>
      </c>
    </row>
    <row r="33" spans="1:2" x14ac:dyDescent="0.25">
      <c r="A33" t="s">
        <v>139</v>
      </c>
      <c r="B33">
        <v>2500</v>
      </c>
    </row>
    <row r="40" spans="1:2" x14ac:dyDescent="0.25">
      <c r="A40" t="s">
        <v>148</v>
      </c>
      <c r="B40" t="s">
        <v>147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94963-775D-4687-B885-EB098D2B63D8}">
  <sheetPr codeName="Planilha4"/>
  <dimension ref="A1:P59"/>
  <sheetViews>
    <sheetView zoomScaleNormal="100" workbookViewId="0">
      <selection activeCell="G60" sqref="G60"/>
    </sheetView>
  </sheetViews>
  <sheetFormatPr defaultRowHeight="15" x14ac:dyDescent="0.25"/>
  <cols>
    <col min="1" max="1" width="15.5703125" bestFit="1" customWidth="1"/>
    <col min="2" max="2" width="30.28515625" bestFit="1" customWidth="1"/>
    <col min="3" max="3" width="7.85546875" bestFit="1" customWidth="1"/>
    <col min="4" max="4" width="21.7109375" bestFit="1" customWidth="1"/>
    <col min="5" max="5" width="16.28515625" bestFit="1" customWidth="1"/>
    <col min="6" max="6" width="7.85546875" bestFit="1" customWidth="1"/>
    <col min="7" max="7" width="17" bestFit="1" customWidth="1"/>
    <col min="8" max="8" width="9" bestFit="1" customWidth="1"/>
    <col min="9" max="9" width="11.140625" bestFit="1" customWidth="1"/>
    <col min="10" max="10" width="7" bestFit="1" customWidth="1"/>
    <col min="11" max="11" width="6.7109375" customWidth="1"/>
    <col min="12" max="12" width="9.85546875" bestFit="1" customWidth="1"/>
    <col min="13" max="13" width="15.85546875" bestFit="1" customWidth="1"/>
    <col min="14" max="14" width="14.28515625" bestFit="1" customWidth="1"/>
    <col min="15" max="15" width="9" bestFit="1" customWidth="1"/>
    <col min="16" max="16" width="15.5703125" bestFit="1" customWidth="1"/>
    <col min="17" max="17" width="10.85546875" bestFit="1" customWidth="1"/>
    <col min="18" max="18" width="9.85546875" bestFit="1" customWidth="1"/>
    <col min="19" max="19" width="15.85546875" bestFit="1" customWidth="1"/>
    <col min="20" max="20" width="14.28515625" bestFit="1" customWidth="1"/>
    <col min="21" max="21" width="9" bestFit="1" customWidth="1"/>
    <col min="22" max="22" width="10.85546875" bestFit="1" customWidth="1"/>
    <col min="23" max="23" width="7.42578125" bestFit="1" customWidth="1"/>
    <col min="24" max="24" width="7.140625" bestFit="1" customWidth="1"/>
    <col min="25" max="25" width="9.85546875" bestFit="1" customWidth="1"/>
    <col min="26" max="26" width="15.85546875" bestFit="1" customWidth="1"/>
    <col min="27" max="27" width="14.28515625" bestFit="1" customWidth="1"/>
    <col min="28" max="28" width="9" bestFit="1" customWidth="1"/>
    <col min="29" max="29" width="10.85546875" bestFit="1" customWidth="1"/>
    <col min="30" max="30" width="7.42578125" bestFit="1" customWidth="1"/>
    <col min="31" max="31" width="7.140625" bestFit="1" customWidth="1"/>
  </cols>
  <sheetData>
    <row r="1" spans="1:16" x14ac:dyDescent="0.25">
      <c r="A1" t="s">
        <v>1</v>
      </c>
      <c r="B1" t="s">
        <v>2</v>
      </c>
      <c r="C1" t="s">
        <v>3</v>
      </c>
      <c r="D1" t="s">
        <v>18</v>
      </c>
      <c r="E1" t="s">
        <v>90</v>
      </c>
      <c r="F1" t="s">
        <v>34</v>
      </c>
      <c r="G1" t="s">
        <v>35</v>
      </c>
      <c r="H1" t="s">
        <v>36</v>
      </c>
      <c r="I1" t="s">
        <v>75</v>
      </c>
      <c r="J1" t="s">
        <v>66</v>
      </c>
      <c r="K1" t="s">
        <v>76</v>
      </c>
      <c r="L1" t="s">
        <v>39</v>
      </c>
      <c r="M1" t="s">
        <v>65</v>
      </c>
      <c r="N1" t="s">
        <v>77</v>
      </c>
      <c r="O1" t="s">
        <v>40</v>
      </c>
      <c r="P1" t="s">
        <v>91</v>
      </c>
    </row>
    <row r="2" spans="1:16" x14ac:dyDescent="0.25">
      <c r="A2" s="69">
        <v>46027</v>
      </c>
      <c r="B2" t="s">
        <v>4</v>
      </c>
      <c r="C2">
        <v>-450.75</v>
      </c>
      <c r="D2" t="s">
        <v>19</v>
      </c>
      <c r="E2" t="s">
        <v>0</v>
      </c>
      <c r="F2" t="s">
        <v>73</v>
      </c>
      <c r="G2" t="s">
        <v>50</v>
      </c>
      <c r="H2">
        <v>-450.75</v>
      </c>
      <c r="I2" s="2">
        <v>46023</v>
      </c>
      <c r="J2">
        <v>1</v>
      </c>
      <c r="K2">
        <v>2026</v>
      </c>
      <c r="N2" s="2"/>
    </row>
    <row r="3" spans="1:16" x14ac:dyDescent="0.25">
      <c r="A3" s="69">
        <v>46032</v>
      </c>
      <c r="B3" t="s">
        <v>5</v>
      </c>
      <c r="C3">
        <v>5500</v>
      </c>
      <c r="D3" t="s">
        <v>20</v>
      </c>
      <c r="E3" t="s">
        <v>0</v>
      </c>
      <c r="F3" t="s">
        <v>72</v>
      </c>
      <c r="G3" t="s">
        <v>74</v>
      </c>
      <c r="H3">
        <v>5049.25</v>
      </c>
      <c r="I3" s="2">
        <v>46023</v>
      </c>
      <c r="J3">
        <v>1</v>
      </c>
      <c r="K3">
        <v>2026</v>
      </c>
      <c r="N3" s="2"/>
    </row>
    <row r="4" spans="1:16" x14ac:dyDescent="0.25">
      <c r="A4" s="69">
        <v>46037</v>
      </c>
      <c r="B4" t="s">
        <v>6</v>
      </c>
      <c r="C4">
        <v>-185.3</v>
      </c>
      <c r="D4" t="s">
        <v>21</v>
      </c>
      <c r="E4" t="s">
        <v>0</v>
      </c>
      <c r="F4" t="s">
        <v>73</v>
      </c>
      <c r="G4" t="s">
        <v>67</v>
      </c>
      <c r="H4">
        <v>4863.95</v>
      </c>
      <c r="I4" s="2">
        <v>46023</v>
      </c>
      <c r="J4">
        <v>1</v>
      </c>
      <c r="K4">
        <v>2026</v>
      </c>
      <c r="N4" s="2"/>
    </row>
    <row r="5" spans="1:16" x14ac:dyDescent="0.25">
      <c r="A5" s="69">
        <v>46040</v>
      </c>
      <c r="B5" t="s">
        <v>7</v>
      </c>
      <c r="C5">
        <v>-200</v>
      </c>
      <c r="D5" t="s">
        <v>19</v>
      </c>
      <c r="E5" t="s">
        <v>0</v>
      </c>
      <c r="F5" t="s">
        <v>73</v>
      </c>
      <c r="G5" t="s">
        <v>56</v>
      </c>
      <c r="H5">
        <v>4663.95</v>
      </c>
      <c r="I5" s="2">
        <v>46023</v>
      </c>
      <c r="J5">
        <v>1</v>
      </c>
      <c r="K5">
        <v>2026</v>
      </c>
      <c r="N5" s="2"/>
    </row>
    <row r="6" spans="1:16" x14ac:dyDescent="0.25">
      <c r="A6" s="69">
        <v>46044</v>
      </c>
      <c r="B6" t="s">
        <v>8</v>
      </c>
      <c r="C6">
        <v>-55.9</v>
      </c>
      <c r="D6" t="s">
        <v>22</v>
      </c>
      <c r="E6" t="s">
        <v>0</v>
      </c>
      <c r="F6" t="s">
        <v>73</v>
      </c>
      <c r="G6" t="s">
        <v>43</v>
      </c>
      <c r="H6">
        <v>4608.05</v>
      </c>
      <c r="I6" s="2">
        <v>46023</v>
      </c>
      <c r="J6">
        <v>1</v>
      </c>
      <c r="K6">
        <v>2026</v>
      </c>
      <c r="N6" s="2"/>
    </row>
    <row r="7" spans="1:16" x14ac:dyDescent="0.25">
      <c r="A7" s="69">
        <v>46047</v>
      </c>
      <c r="B7" t="s">
        <v>9</v>
      </c>
      <c r="C7">
        <v>-350</v>
      </c>
      <c r="D7" t="s">
        <v>23</v>
      </c>
      <c r="E7" t="s">
        <v>0</v>
      </c>
      <c r="F7" t="s">
        <v>73</v>
      </c>
      <c r="G7" t="s">
        <v>68</v>
      </c>
      <c r="H7">
        <v>4258.05</v>
      </c>
      <c r="I7" s="2">
        <v>46023</v>
      </c>
      <c r="J7">
        <v>1</v>
      </c>
      <c r="K7">
        <v>2026</v>
      </c>
      <c r="N7" s="2"/>
    </row>
    <row r="8" spans="1:16" x14ac:dyDescent="0.25">
      <c r="A8" s="69">
        <v>46058</v>
      </c>
      <c r="B8" t="s">
        <v>10</v>
      </c>
      <c r="C8">
        <v>-520.4</v>
      </c>
      <c r="D8" t="s">
        <v>19</v>
      </c>
      <c r="E8" t="s">
        <v>0</v>
      </c>
      <c r="F8" t="s">
        <v>73</v>
      </c>
      <c r="G8" t="s">
        <v>50</v>
      </c>
      <c r="H8">
        <v>3737.65</v>
      </c>
      <c r="I8" s="2">
        <v>46054</v>
      </c>
      <c r="J8">
        <v>2</v>
      </c>
      <c r="K8">
        <v>2026</v>
      </c>
      <c r="N8" s="2"/>
    </row>
    <row r="9" spans="1:16" x14ac:dyDescent="0.25">
      <c r="A9" s="69">
        <v>46063</v>
      </c>
      <c r="B9" t="s">
        <v>5</v>
      </c>
      <c r="C9">
        <v>5500</v>
      </c>
      <c r="D9" t="s">
        <v>20</v>
      </c>
      <c r="E9" t="s">
        <v>0</v>
      </c>
      <c r="F9" t="s">
        <v>72</v>
      </c>
      <c r="G9" t="s">
        <v>74</v>
      </c>
      <c r="H9">
        <v>9237.65</v>
      </c>
      <c r="I9" s="2">
        <v>46054</v>
      </c>
      <c r="J9">
        <v>2</v>
      </c>
      <c r="K9">
        <v>2026</v>
      </c>
      <c r="N9" s="2"/>
    </row>
    <row r="10" spans="1:16" x14ac:dyDescent="0.25">
      <c r="A10" s="69">
        <v>46063</v>
      </c>
      <c r="B10" t="s">
        <v>102</v>
      </c>
      <c r="C10">
        <v>-668.37</v>
      </c>
      <c r="D10" t="s">
        <v>21</v>
      </c>
      <c r="E10" t="s">
        <v>0</v>
      </c>
      <c r="F10" t="s">
        <v>73</v>
      </c>
      <c r="G10" t="s">
        <v>103</v>
      </c>
      <c r="H10">
        <f>H9+ContaCorrente_[[#This Row],[Valor]]</f>
        <v>8569.2799999999988</v>
      </c>
      <c r="I10" s="2">
        <v>46054</v>
      </c>
      <c r="J10">
        <v>2</v>
      </c>
      <c r="K10">
        <v>2026</v>
      </c>
      <c r="N10" s="2"/>
    </row>
    <row r="11" spans="1:16" x14ac:dyDescent="0.25">
      <c r="A11" s="69">
        <v>46065</v>
      </c>
      <c r="B11" t="s">
        <v>11</v>
      </c>
      <c r="C11">
        <v>-129.9</v>
      </c>
      <c r="D11" t="s">
        <v>21</v>
      </c>
      <c r="E11" t="s">
        <v>0</v>
      </c>
      <c r="F11" t="s">
        <v>73</v>
      </c>
      <c r="G11" t="s">
        <v>67</v>
      </c>
      <c r="H11">
        <f>H10+ContaCorrente_[[#This Row],[Valor]]</f>
        <v>8439.3799999999992</v>
      </c>
      <c r="I11" s="2">
        <v>46054</v>
      </c>
      <c r="J11">
        <v>2</v>
      </c>
      <c r="K11">
        <v>2026</v>
      </c>
      <c r="N11" s="2"/>
    </row>
    <row r="12" spans="1:16" x14ac:dyDescent="0.25">
      <c r="A12" s="69">
        <v>46068</v>
      </c>
      <c r="B12" t="s">
        <v>12</v>
      </c>
      <c r="C12">
        <v>-95.6</v>
      </c>
      <c r="D12" t="s">
        <v>21</v>
      </c>
      <c r="E12" t="s">
        <v>0</v>
      </c>
      <c r="F12" t="s">
        <v>73</v>
      </c>
      <c r="G12" t="s">
        <v>67</v>
      </c>
      <c r="H12">
        <f>H11+ContaCorrente_[[#This Row],[Valor]]</f>
        <v>8343.7799999999988</v>
      </c>
      <c r="I12" s="2">
        <v>46054</v>
      </c>
      <c r="J12">
        <v>2</v>
      </c>
      <c r="K12">
        <v>2026</v>
      </c>
      <c r="N12" s="2"/>
    </row>
    <row r="13" spans="1:16" x14ac:dyDescent="0.25">
      <c r="A13" s="69">
        <v>46073</v>
      </c>
      <c r="B13" t="s">
        <v>13</v>
      </c>
      <c r="C13">
        <v>-78.5</v>
      </c>
      <c r="D13" t="s">
        <v>19</v>
      </c>
      <c r="E13" t="s">
        <v>0</v>
      </c>
      <c r="F13" t="s">
        <v>73</v>
      </c>
      <c r="G13" t="s">
        <v>54</v>
      </c>
      <c r="H13">
        <f>H12+ContaCorrente_[[#This Row],[Valor]]</f>
        <v>8265.2799999999988</v>
      </c>
      <c r="I13" s="2">
        <v>46054</v>
      </c>
      <c r="J13">
        <v>2</v>
      </c>
      <c r="K13">
        <v>2026</v>
      </c>
      <c r="N13" s="2"/>
    </row>
    <row r="14" spans="1:16" x14ac:dyDescent="0.25">
      <c r="A14" s="69">
        <v>46081</v>
      </c>
      <c r="B14" t="s">
        <v>14</v>
      </c>
      <c r="C14">
        <v>-1200</v>
      </c>
      <c r="D14" t="s">
        <v>23</v>
      </c>
      <c r="E14" t="s">
        <v>0</v>
      </c>
      <c r="F14" t="s">
        <v>73</v>
      </c>
      <c r="G14" t="s">
        <v>68</v>
      </c>
      <c r="H14">
        <f>H13+ContaCorrente_[[#This Row],[Valor]]</f>
        <v>7065.2799999999988</v>
      </c>
      <c r="I14" s="2">
        <v>46054</v>
      </c>
      <c r="J14">
        <v>2</v>
      </c>
      <c r="K14">
        <v>2026</v>
      </c>
      <c r="N14" s="2"/>
    </row>
    <row r="15" spans="1:16" x14ac:dyDescent="0.25">
      <c r="A15" s="69">
        <v>46086</v>
      </c>
      <c r="B15" t="s">
        <v>15</v>
      </c>
      <c r="C15">
        <v>-480.25</v>
      </c>
      <c r="D15" t="s">
        <v>19</v>
      </c>
      <c r="E15" t="s">
        <v>0</v>
      </c>
      <c r="F15" t="s">
        <v>73</v>
      </c>
      <c r="G15" t="s">
        <v>50</v>
      </c>
      <c r="H15">
        <f>H14+ContaCorrente_[[#This Row],[Valor]]</f>
        <v>6585.0299999999988</v>
      </c>
      <c r="I15" s="2">
        <v>46082</v>
      </c>
      <c r="J15">
        <v>3</v>
      </c>
      <c r="K15">
        <v>2026</v>
      </c>
      <c r="N15" s="2"/>
    </row>
    <row r="16" spans="1:16" x14ac:dyDescent="0.25">
      <c r="A16" s="69">
        <v>46091</v>
      </c>
      <c r="B16" t="s">
        <v>5</v>
      </c>
      <c r="C16">
        <v>5500</v>
      </c>
      <c r="D16" t="s">
        <v>20</v>
      </c>
      <c r="E16" t="s">
        <v>0</v>
      </c>
      <c r="F16" t="s">
        <v>72</v>
      </c>
      <c r="G16" t="s">
        <v>74</v>
      </c>
      <c r="H16">
        <f>H15+ContaCorrente_[[#This Row],[Valor]]</f>
        <v>12085.029999999999</v>
      </c>
      <c r="I16" s="2">
        <v>46082</v>
      </c>
      <c r="J16">
        <v>3</v>
      </c>
      <c r="K16">
        <v>2026</v>
      </c>
      <c r="N16" s="2"/>
    </row>
    <row r="17" spans="1:16" x14ac:dyDescent="0.25">
      <c r="A17" s="69">
        <v>46091</v>
      </c>
      <c r="B17" t="s">
        <v>102</v>
      </c>
      <c r="C17">
        <v>-1078.07</v>
      </c>
      <c r="D17" t="s">
        <v>21</v>
      </c>
      <c r="E17" t="s">
        <v>0</v>
      </c>
      <c r="F17" t="s">
        <v>73</v>
      </c>
      <c r="G17" t="s">
        <v>103</v>
      </c>
      <c r="H17">
        <f>H16+ContaCorrente_[[#This Row],[Valor]]</f>
        <v>11006.96</v>
      </c>
      <c r="I17" s="2">
        <v>46082</v>
      </c>
      <c r="J17">
        <v>3</v>
      </c>
      <c r="K17">
        <v>2026</v>
      </c>
      <c r="N17" s="2"/>
    </row>
    <row r="18" spans="1:16" x14ac:dyDescent="0.25">
      <c r="A18" s="69">
        <v>46096</v>
      </c>
      <c r="B18" t="s">
        <v>16</v>
      </c>
      <c r="C18">
        <v>-1800</v>
      </c>
      <c r="D18" t="s">
        <v>21</v>
      </c>
      <c r="E18" t="s">
        <v>0</v>
      </c>
      <c r="F18" t="s">
        <v>73</v>
      </c>
      <c r="G18" t="s">
        <v>67</v>
      </c>
      <c r="H18">
        <f>H17+ContaCorrente_[[#This Row],[Valor]]</f>
        <v>9206.9599999999991</v>
      </c>
      <c r="I18" s="2">
        <v>46082</v>
      </c>
      <c r="J18">
        <v>3</v>
      </c>
      <c r="K18">
        <v>2026</v>
      </c>
      <c r="N18" s="2"/>
    </row>
    <row r="19" spans="1:16" x14ac:dyDescent="0.25">
      <c r="A19" s="69">
        <v>46096</v>
      </c>
      <c r="B19" t="s">
        <v>24</v>
      </c>
      <c r="C19">
        <v>-189.9</v>
      </c>
      <c r="D19" t="s">
        <v>19</v>
      </c>
      <c r="E19" t="s">
        <v>0</v>
      </c>
      <c r="F19" t="s">
        <v>73</v>
      </c>
      <c r="G19" t="s">
        <v>50</v>
      </c>
      <c r="H19">
        <f>H18+ContaCorrente_[[#This Row],[Valor]]</f>
        <v>9017.06</v>
      </c>
      <c r="I19" s="2">
        <v>46082</v>
      </c>
      <c r="J19">
        <v>3</v>
      </c>
      <c r="K19">
        <v>2026</v>
      </c>
      <c r="N19" s="2"/>
    </row>
    <row r="20" spans="1:16" x14ac:dyDescent="0.25">
      <c r="A20" s="69">
        <v>46097</v>
      </c>
      <c r="B20" t="s">
        <v>25</v>
      </c>
      <c r="C20">
        <v>-32.5</v>
      </c>
      <c r="D20" t="s">
        <v>19</v>
      </c>
      <c r="E20" t="s">
        <v>0</v>
      </c>
      <c r="F20" t="s">
        <v>73</v>
      </c>
      <c r="G20" t="s">
        <v>56</v>
      </c>
      <c r="H20">
        <f>H19+ContaCorrente_[[#This Row],[Valor]]</f>
        <v>8984.56</v>
      </c>
      <c r="I20" s="2">
        <v>46082</v>
      </c>
      <c r="J20">
        <v>3</v>
      </c>
      <c r="K20">
        <v>2026</v>
      </c>
      <c r="N20" s="2"/>
    </row>
    <row r="21" spans="1:16" x14ac:dyDescent="0.25">
      <c r="A21" s="69">
        <v>46098</v>
      </c>
      <c r="B21" t="s">
        <v>26</v>
      </c>
      <c r="C21">
        <v>-21.9</v>
      </c>
      <c r="D21" t="s">
        <v>22</v>
      </c>
      <c r="E21" t="s">
        <v>0</v>
      </c>
      <c r="F21" t="s">
        <v>73</v>
      </c>
      <c r="G21" t="s">
        <v>43</v>
      </c>
      <c r="H21">
        <f>H20+ContaCorrente_[[#This Row],[Valor]]</f>
        <v>8962.66</v>
      </c>
      <c r="I21" s="2">
        <v>46082</v>
      </c>
      <c r="J21">
        <v>3</v>
      </c>
      <c r="K21">
        <v>2026</v>
      </c>
      <c r="N21" s="2"/>
    </row>
    <row r="22" spans="1:16" x14ac:dyDescent="0.25">
      <c r="A22" s="69">
        <v>46098</v>
      </c>
      <c r="B22" t="s">
        <v>27</v>
      </c>
      <c r="C22">
        <v>800</v>
      </c>
      <c r="D22" t="s">
        <v>28</v>
      </c>
      <c r="E22" t="s">
        <v>0</v>
      </c>
      <c r="F22" t="s">
        <v>72</v>
      </c>
      <c r="G22" t="s">
        <v>74</v>
      </c>
      <c r="H22">
        <f>H21+ContaCorrente_[[#This Row],[Valor]]</f>
        <v>9762.66</v>
      </c>
      <c r="I22" s="2">
        <v>46082</v>
      </c>
      <c r="J22">
        <v>3</v>
      </c>
      <c r="K22">
        <v>2026</v>
      </c>
      <c r="N22" s="2"/>
    </row>
    <row r="23" spans="1:16" x14ac:dyDescent="0.25">
      <c r="A23" s="69">
        <v>46099</v>
      </c>
      <c r="B23" t="s">
        <v>29</v>
      </c>
      <c r="C23">
        <v>-67.8</v>
      </c>
      <c r="D23" t="s">
        <v>19</v>
      </c>
      <c r="E23" t="s">
        <v>0</v>
      </c>
      <c r="F23" t="s">
        <v>73</v>
      </c>
      <c r="G23" t="s">
        <v>50</v>
      </c>
      <c r="H23">
        <f>H22+ContaCorrente_[[#This Row],[Valor]]</f>
        <v>9694.86</v>
      </c>
      <c r="I23" s="2">
        <v>46082</v>
      </c>
      <c r="J23">
        <v>3</v>
      </c>
      <c r="K23">
        <v>2026</v>
      </c>
      <c r="N23" s="2"/>
    </row>
    <row r="24" spans="1:16" x14ac:dyDescent="0.25">
      <c r="A24" s="69">
        <v>46099</v>
      </c>
      <c r="B24" t="s">
        <v>30</v>
      </c>
      <c r="C24">
        <v>-245</v>
      </c>
      <c r="D24" t="s">
        <v>19</v>
      </c>
      <c r="E24" t="s">
        <v>0</v>
      </c>
      <c r="F24" t="s">
        <v>73</v>
      </c>
      <c r="G24" t="s">
        <v>69</v>
      </c>
      <c r="H24">
        <f>H23+ContaCorrente_[[#This Row],[Valor]]</f>
        <v>9449.86</v>
      </c>
      <c r="I24" s="2">
        <v>46082</v>
      </c>
      <c r="J24">
        <v>3</v>
      </c>
      <c r="K24">
        <v>2026</v>
      </c>
      <c r="N24" s="2"/>
    </row>
    <row r="25" spans="1:16" x14ac:dyDescent="0.25">
      <c r="A25" s="69">
        <v>46122</v>
      </c>
      <c r="B25" t="s">
        <v>5</v>
      </c>
      <c r="C25">
        <v>5500</v>
      </c>
      <c r="D25" t="s">
        <v>20</v>
      </c>
      <c r="E25" t="s">
        <v>0</v>
      </c>
      <c r="F25" t="s">
        <v>72</v>
      </c>
      <c r="G25" t="s">
        <v>74</v>
      </c>
      <c r="H25">
        <f>H24+ContaCorrente_[[#This Row],[Valor]]</f>
        <v>14949.86</v>
      </c>
      <c r="I25" s="2">
        <v>46113</v>
      </c>
      <c r="J25">
        <v>4</v>
      </c>
      <c r="K25">
        <v>2026</v>
      </c>
      <c r="N25" s="2"/>
    </row>
    <row r="26" spans="1:16" x14ac:dyDescent="0.25">
      <c r="A26" s="69">
        <v>46123</v>
      </c>
      <c r="B26" t="s">
        <v>102</v>
      </c>
      <c r="C26">
        <v>-1223.47</v>
      </c>
      <c r="D26" t="s">
        <v>21</v>
      </c>
      <c r="E26" t="s">
        <v>0</v>
      </c>
      <c r="F26" t="s">
        <v>73</v>
      </c>
      <c r="G26" t="s">
        <v>103</v>
      </c>
      <c r="H26">
        <f>H25+ContaCorrente_[[#This Row],[Valor]]</f>
        <v>13726.390000000001</v>
      </c>
      <c r="I26" s="2">
        <v>46113</v>
      </c>
      <c r="J26">
        <v>4</v>
      </c>
      <c r="K26">
        <v>2026</v>
      </c>
      <c r="N26" s="2"/>
    </row>
    <row r="27" spans="1:16" x14ac:dyDescent="0.25">
      <c r="A27" s="69">
        <v>46124</v>
      </c>
      <c r="B27" t="s">
        <v>31</v>
      </c>
      <c r="C27">
        <v>-99.9</v>
      </c>
      <c r="D27" t="s">
        <v>22</v>
      </c>
      <c r="E27" t="s">
        <v>0</v>
      </c>
      <c r="F27" t="s">
        <v>73</v>
      </c>
      <c r="G27" t="s">
        <v>43</v>
      </c>
      <c r="H27">
        <f>H26+ContaCorrente_[[#This Row],[Valor]]</f>
        <v>13626.490000000002</v>
      </c>
      <c r="I27" s="2">
        <v>46113</v>
      </c>
      <c r="J27">
        <v>4</v>
      </c>
      <c r="K27">
        <v>2026</v>
      </c>
      <c r="N27" s="2"/>
    </row>
    <row r="28" spans="1:16" x14ac:dyDescent="0.25">
      <c r="A28" s="69">
        <v>46127</v>
      </c>
      <c r="B28" t="s">
        <v>6</v>
      </c>
      <c r="C28">
        <v>-210.45</v>
      </c>
      <c r="D28" t="s">
        <v>21</v>
      </c>
      <c r="E28" t="s">
        <v>0</v>
      </c>
      <c r="F28" t="s">
        <v>73</v>
      </c>
      <c r="G28" t="s">
        <v>67</v>
      </c>
      <c r="H28">
        <f>H27+ContaCorrente_[[#This Row],[Valor]]</f>
        <v>13416.04</v>
      </c>
      <c r="I28" s="2">
        <v>46113</v>
      </c>
      <c r="J28">
        <v>4</v>
      </c>
      <c r="K28">
        <v>2026</v>
      </c>
      <c r="N28" s="2"/>
    </row>
    <row r="29" spans="1:16" x14ac:dyDescent="0.25">
      <c r="A29" s="69">
        <v>46130</v>
      </c>
      <c r="B29" t="s">
        <v>32</v>
      </c>
      <c r="C29">
        <v>-500</v>
      </c>
      <c r="D29" t="s">
        <v>33</v>
      </c>
      <c r="E29" t="s">
        <v>0</v>
      </c>
      <c r="F29" t="s">
        <v>73</v>
      </c>
      <c r="G29" t="s">
        <v>33</v>
      </c>
      <c r="H29">
        <f>H28+ContaCorrente_[[#This Row],[Valor]]</f>
        <v>12916.04</v>
      </c>
      <c r="I29" s="2">
        <v>46113</v>
      </c>
      <c r="J29">
        <v>4</v>
      </c>
      <c r="K29">
        <v>2026</v>
      </c>
      <c r="N29" s="2"/>
    </row>
    <row r="30" spans="1:16" x14ac:dyDescent="0.25">
      <c r="A30" s="69">
        <v>46027</v>
      </c>
      <c r="B30" t="s">
        <v>45</v>
      </c>
      <c r="C30">
        <v>-189.9</v>
      </c>
      <c r="D30" t="s">
        <v>46</v>
      </c>
      <c r="E30" t="s">
        <v>37</v>
      </c>
      <c r="G30" t="s">
        <v>47</v>
      </c>
      <c r="I30" s="2"/>
      <c r="J30">
        <v>1</v>
      </c>
      <c r="K30">
        <v>2026</v>
      </c>
      <c r="L30" t="s">
        <v>78</v>
      </c>
      <c r="M30">
        <v>3</v>
      </c>
      <c r="N30" s="2">
        <v>46063</v>
      </c>
      <c r="O30" t="s">
        <v>44</v>
      </c>
      <c r="P30" t="s">
        <v>79</v>
      </c>
    </row>
    <row r="31" spans="1:16" x14ac:dyDescent="0.25">
      <c r="A31" s="69">
        <v>46032</v>
      </c>
      <c r="B31" t="s">
        <v>51</v>
      </c>
      <c r="C31">
        <v>-89.97</v>
      </c>
      <c r="D31" t="s">
        <v>46</v>
      </c>
      <c r="E31" t="s">
        <v>37</v>
      </c>
      <c r="G31" t="s">
        <v>52</v>
      </c>
      <c r="I31" s="2"/>
      <c r="J31">
        <v>1</v>
      </c>
      <c r="K31">
        <v>2026</v>
      </c>
      <c r="L31" t="s">
        <v>80</v>
      </c>
      <c r="M31">
        <v>10</v>
      </c>
      <c r="N31" s="2">
        <v>46063</v>
      </c>
      <c r="O31" t="s">
        <v>44</v>
      </c>
      <c r="P31" t="s">
        <v>79</v>
      </c>
    </row>
    <row r="32" spans="1:16" x14ac:dyDescent="0.25">
      <c r="A32" s="69">
        <v>46037</v>
      </c>
      <c r="B32" t="s">
        <v>53</v>
      </c>
      <c r="C32">
        <v>-45.8</v>
      </c>
      <c r="D32" t="s">
        <v>49</v>
      </c>
      <c r="E32" t="s">
        <v>37</v>
      </c>
      <c r="G32" t="s">
        <v>54</v>
      </c>
      <c r="I32" s="2"/>
      <c r="J32">
        <v>1</v>
      </c>
      <c r="K32">
        <v>2026</v>
      </c>
      <c r="L32" t="s">
        <v>81</v>
      </c>
      <c r="M32">
        <v>1</v>
      </c>
      <c r="N32" s="2">
        <v>46063</v>
      </c>
      <c r="O32" t="s">
        <v>44</v>
      </c>
      <c r="P32" t="s">
        <v>79</v>
      </c>
    </row>
    <row r="33" spans="1:16" x14ac:dyDescent="0.25">
      <c r="A33" s="69">
        <v>46040</v>
      </c>
      <c r="B33" t="s">
        <v>55</v>
      </c>
      <c r="C33">
        <v>-250</v>
      </c>
      <c r="D33" t="s">
        <v>49</v>
      </c>
      <c r="E33" t="s">
        <v>37</v>
      </c>
      <c r="G33" t="s">
        <v>56</v>
      </c>
      <c r="I33" s="2"/>
      <c r="J33">
        <v>1</v>
      </c>
      <c r="K33">
        <v>2026</v>
      </c>
      <c r="L33" t="s">
        <v>81</v>
      </c>
      <c r="M33">
        <v>1</v>
      </c>
      <c r="N33" s="2">
        <v>46063</v>
      </c>
      <c r="O33" t="s">
        <v>44</v>
      </c>
      <c r="P33" t="s">
        <v>79</v>
      </c>
    </row>
    <row r="34" spans="1:16" x14ac:dyDescent="0.25">
      <c r="A34" s="69">
        <v>46042</v>
      </c>
      <c r="B34" t="s">
        <v>41</v>
      </c>
      <c r="C34">
        <v>-14.9</v>
      </c>
      <c r="D34" t="s">
        <v>42</v>
      </c>
      <c r="E34" t="s">
        <v>37</v>
      </c>
      <c r="G34" t="s">
        <v>43</v>
      </c>
      <c r="I34" s="2"/>
      <c r="J34">
        <v>1</v>
      </c>
      <c r="K34">
        <v>2026</v>
      </c>
      <c r="L34">
        <v>1</v>
      </c>
      <c r="M34">
        <v>3</v>
      </c>
      <c r="N34" s="2">
        <v>46063</v>
      </c>
      <c r="O34" t="s">
        <v>44</v>
      </c>
      <c r="P34" t="s">
        <v>79</v>
      </c>
    </row>
    <row r="35" spans="1:16" x14ac:dyDescent="0.25">
      <c r="A35" s="69">
        <v>46047</v>
      </c>
      <c r="B35" t="s">
        <v>8</v>
      </c>
      <c r="C35">
        <v>-55.9</v>
      </c>
      <c r="D35" t="s">
        <v>42</v>
      </c>
      <c r="E35" t="s">
        <v>37</v>
      </c>
      <c r="G35" t="s">
        <v>43</v>
      </c>
      <c r="I35" s="2"/>
      <c r="J35">
        <v>1</v>
      </c>
      <c r="K35">
        <v>2026</v>
      </c>
      <c r="L35">
        <v>2</v>
      </c>
      <c r="M35">
        <v>3</v>
      </c>
      <c r="N35" s="2">
        <v>46063</v>
      </c>
      <c r="O35" t="s">
        <v>44</v>
      </c>
      <c r="P35" t="s">
        <v>79</v>
      </c>
    </row>
    <row r="36" spans="1:16" x14ac:dyDescent="0.25">
      <c r="A36" s="69">
        <v>46050</v>
      </c>
      <c r="B36" t="s">
        <v>26</v>
      </c>
      <c r="C36">
        <v>-21.9</v>
      </c>
      <c r="D36" t="s">
        <v>42</v>
      </c>
      <c r="E36" t="s">
        <v>37</v>
      </c>
      <c r="G36" t="s">
        <v>43</v>
      </c>
      <c r="I36" s="2"/>
      <c r="J36">
        <v>1</v>
      </c>
      <c r="K36">
        <v>2026</v>
      </c>
      <c r="L36">
        <v>1</v>
      </c>
      <c r="M36">
        <v>3</v>
      </c>
      <c r="N36" s="2">
        <v>46063</v>
      </c>
      <c r="O36" t="s">
        <v>44</v>
      </c>
      <c r="P36" t="s">
        <v>79</v>
      </c>
    </row>
    <row r="37" spans="1:16" x14ac:dyDescent="0.25">
      <c r="A37" s="69">
        <v>46054</v>
      </c>
      <c r="B37" t="s">
        <v>48</v>
      </c>
      <c r="C37">
        <v>-156</v>
      </c>
      <c r="D37" t="s">
        <v>49</v>
      </c>
      <c r="E37" t="s">
        <v>37</v>
      </c>
      <c r="G37" t="s">
        <v>50</v>
      </c>
      <c r="I37" s="2"/>
      <c r="J37">
        <v>2</v>
      </c>
      <c r="K37">
        <v>2026</v>
      </c>
      <c r="L37" t="s">
        <v>81</v>
      </c>
      <c r="M37">
        <v>1</v>
      </c>
      <c r="N37" s="2">
        <v>46091</v>
      </c>
      <c r="O37" t="s">
        <v>44</v>
      </c>
      <c r="P37" t="s">
        <v>82</v>
      </c>
    </row>
    <row r="38" spans="1:16" x14ac:dyDescent="0.25">
      <c r="A38" s="69">
        <v>46058</v>
      </c>
      <c r="B38" t="s">
        <v>45</v>
      </c>
      <c r="C38">
        <v>-189.9</v>
      </c>
      <c r="D38" t="s">
        <v>46</v>
      </c>
      <c r="E38" t="s">
        <v>37</v>
      </c>
      <c r="G38" t="s">
        <v>47</v>
      </c>
      <c r="I38" s="2"/>
      <c r="J38">
        <v>2</v>
      </c>
      <c r="K38">
        <v>2026</v>
      </c>
      <c r="L38" t="s">
        <v>78</v>
      </c>
      <c r="M38">
        <v>3</v>
      </c>
      <c r="N38" s="2">
        <v>46091</v>
      </c>
      <c r="O38" t="s">
        <v>44</v>
      </c>
      <c r="P38" t="s">
        <v>82</v>
      </c>
    </row>
    <row r="39" spans="1:16" x14ac:dyDescent="0.25">
      <c r="A39" s="69">
        <v>46060</v>
      </c>
      <c r="B39" t="s">
        <v>29</v>
      </c>
      <c r="C39">
        <v>-89.5</v>
      </c>
      <c r="D39" t="s">
        <v>49</v>
      </c>
      <c r="E39" t="s">
        <v>37</v>
      </c>
      <c r="G39" t="s">
        <v>50</v>
      </c>
      <c r="I39" s="2"/>
      <c r="J39">
        <v>2</v>
      </c>
      <c r="K39">
        <v>2026</v>
      </c>
      <c r="L39" t="s">
        <v>81</v>
      </c>
      <c r="M39">
        <v>1</v>
      </c>
      <c r="N39" s="2">
        <v>46091</v>
      </c>
      <c r="O39" t="s">
        <v>44</v>
      </c>
      <c r="P39" t="s">
        <v>82</v>
      </c>
    </row>
    <row r="40" spans="1:16" x14ac:dyDescent="0.25">
      <c r="A40" s="69">
        <v>46063</v>
      </c>
      <c r="B40" t="s">
        <v>51</v>
      </c>
      <c r="C40">
        <v>-89.97</v>
      </c>
      <c r="D40" t="s">
        <v>46</v>
      </c>
      <c r="E40" t="s">
        <v>37</v>
      </c>
      <c r="G40" t="s">
        <v>52</v>
      </c>
      <c r="I40" s="2"/>
      <c r="J40">
        <v>2</v>
      </c>
      <c r="K40">
        <v>2026</v>
      </c>
      <c r="L40" t="s">
        <v>80</v>
      </c>
      <c r="M40">
        <v>10</v>
      </c>
      <c r="N40" s="2">
        <v>46091</v>
      </c>
      <c r="O40" t="s">
        <v>44</v>
      </c>
      <c r="P40" t="s">
        <v>82</v>
      </c>
    </row>
    <row r="41" spans="1:16" x14ac:dyDescent="0.25">
      <c r="A41" s="69">
        <v>46067</v>
      </c>
      <c r="B41" t="s">
        <v>57</v>
      </c>
      <c r="C41">
        <v>-300</v>
      </c>
      <c r="D41" t="s">
        <v>46</v>
      </c>
      <c r="E41" t="s">
        <v>37</v>
      </c>
      <c r="G41" t="s">
        <v>58</v>
      </c>
      <c r="I41" s="2"/>
      <c r="J41">
        <v>2</v>
      </c>
      <c r="K41">
        <v>2026</v>
      </c>
      <c r="L41" t="s">
        <v>83</v>
      </c>
      <c r="M41">
        <v>4</v>
      </c>
      <c r="N41" s="2">
        <v>46091</v>
      </c>
      <c r="O41" t="s">
        <v>44</v>
      </c>
      <c r="P41" t="s">
        <v>82</v>
      </c>
    </row>
    <row r="42" spans="1:16" x14ac:dyDescent="0.25">
      <c r="A42" s="69">
        <v>46073</v>
      </c>
      <c r="B42" t="s">
        <v>41</v>
      </c>
      <c r="C42">
        <v>-14.9</v>
      </c>
      <c r="D42" t="s">
        <v>42</v>
      </c>
      <c r="E42" t="s">
        <v>37</v>
      </c>
      <c r="G42" t="s">
        <v>43</v>
      </c>
      <c r="I42" s="2"/>
      <c r="J42">
        <v>2</v>
      </c>
      <c r="K42">
        <v>2026</v>
      </c>
      <c r="L42">
        <v>2</v>
      </c>
      <c r="M42">
        <v>3</v>
      </c>
      <c r="N42" s="2">
        <v>46091</v>
      </c>
      <c r="O42" t="s">
        <v>44</v>
      </c>
      <c r="P42" t="s">
        <v>82</v>
      </c>
    </row>
    <row r="43" spans="1:16" x14ac:dyDescent="0.25">
      <c r="A43" s="69">
        <v>46073</v>
      </c>
      <c r="B43" t="s">
        <v>8</v>
      </c>
      <c r="C43">
        <v>-55.9</v>
      </c>
      <c r="D43" t="s">
        <v>42</v>
      </c>
      <c r="E43" t="s">
        <v>37</v>
      </c>
      <c r="G43" t="s">
        <v>43</v>
      </c>
      <c r="I43" s="2"/>
      <c r="J43">
        <v>2</v>
      </c>
      <c r="K43">
        <v>2026</v>
      </c>
      <c r="L43">
        <v>3</v>
      </c>
      <c r="M43">
        <v>3</v>
      </c>
      <c r="N43" s="2">
        <v>46091</v>
      </c>
      <c r="O43" t="s">
        <v>44</v>
      </c>
      <c r="P43" t="s">
        <v>82</v>
      </c>
    </row>
    <row r="44" spans="1:16" x14ac:dyDescent="0.25">
      <c r="A44" s="69">
        <v>46073</v>
      </c>
      <c r="B44" t="s">
        <v>26</v>
      </c>
      <c r="C44">
        <v>-21.9</v>
      </c>
      <c r="D44" t="s">
        <v>42</v>
      </c>
      <c r="E44" t="s">
        <v>37</v>
      </c>
      <c r="G44" t="s">
        <v>43</v>
      </c>
      <c r="I44" s="2"/>
      <c r="J44">
        <v>2</v>
      </c>
      <c r="K44">
        <v>2026</v>
      </c>
      <c r="L44">
        <v>2</v>
      </c>
      <c r="M44">
        <v>3</v>
      </c>
      <c r="N44" s="2">
        <v>46091</v>
      </c>
      <c r="O44" t="s">
        <v>44</v>
      </c>
      <c r="P44" t="s">
        <v>82</v>
      </c>
    </row>
    <row r="45" spans="1:16" x14ac:dyDescent="0.25">
      <c r="A45" s="69">
        <v>46073</v>
      </c>
      <c r="B45" t="s">
        <v>59</v>
      </c>
      <c r="C45">
        <v>-160</v>
      </c>
      <c r="D45" t="s">
        <v>46</v>
      </c>
      <c r="E45" t="s">
        <v>37</v>
      </c>
      <c r="G45" t="s">
        <v>60</v>
      </c>
      <c r="I45" s="2"/>
      <c r="J45">
        <v>2</v>
      </c>
      <c r="K45">
        <v>2026</v>
      </c>
      <c r="L45" t="s">
        <v>84</v>
      </c>
      <c r="M45">
        <v>2</v>
      </c>
      <c r="N45" s="2">
        <v>46091</v>
      </c>
      <c r="O45" t="s">
        <v>44</v>
      </c>
      <c r="P45" t="s">
        <v>82</v>
      </c>
    </row>
    <row r="46" spans="1:16" x14ac:dyDescent="0.25">
      <c r="A46" s="69">
        <v>46086</v>
      </c>
      <c r="B46" t="s">
        <v>45</v>
      </c>
      <c r="C46">
        <v>-189.9</v>
      </c>
      <c r="D46" t="s">
        <v>46</v>
      </c>
      <c r="E46" t="s">
        <v>37</v>
      </c>
      <c r="G46" t="s">
        <v>47</v>
      </c>
      <c r="I46" s="2"/>
      <c r="J46">
        <v>3</v>
      </c>
      <c r="K46">
        <v>2026</v>
      </c>
      <c r="L46" t="s">
        <v>85</v>
      </c>
      <c r="M46">
        <v>3</v>
      </c>
      <c r="N46" s="2">
        <v>46122</v>
      </c>
      <c r="O46" t="s">
        <v>44</v>
      </c>
      <c r="P46" t="s">
        <v>86</v>
      </c>
    </row>
    <row r="47" spans="1:16" x14ac:dyDescent="0.25">
      <c r="A47" s="69">
        <v>46089</v>
      </c>
      <c r="B47" t="s">
        <v>62</v>
      </c>
      <c r="C47">
        <v>-67.900000000000006</v>
      </c>
      <c r="D47" t="s">
        <v>49</v>
      </c>
      <c r="E47" t="s">
        <v>37</v>
      </c>
      <c r="G47" t="s">
        <v>50</v>
      </c>
      <c r="I47" s="2"/>
      <c r="J47">
        <v>3</v>
      </c>
      <c r="K47">
        <v>2026</v>
      </c>
      <c r="L47" t="s">
        <v>81</v>
      </c>
      <c r="M47">
        <v>1</v>
      </c>
      <c r="N47" s="2">
        <v>46122</v>
      </c>
      <c r="O47" t="s">
        <v>44</v>
      </c>
      <c r="P47" t="s">
        <v>86</v>
      </c>
    </row>
    <row r="48" spans="1:16" x14ac:dyDescent="0.25">
      <c r="A48" s="69">
        <v>46091</v>
      </c>
      <c r="B48" t="s">
        <v>51</v>
      </c>
      <c r="C48">
        <v>-89.97</v>
      </c>
      <c r="D48" t="s">
        <v>46</v>
      </c>
      <c r="E48" t="s">
        <v>37</v>
      </c>
      <c r="G48" t="s">
        <v>52</v>
      </c>
      <c r="I48" s="2"/>
      <c r="J48">
        <v>3</v>
      </c>
      <c r="K48">
        <v>2026</v>
      </c>
      <c r="L48" t="s">
        <v>87</v>
      </c>
      <c r="M48">
        <v>10</v>
      </c>
      <c r="N48" s="2">
        <v>46122</v>
      </c>
      <c r="O48" t="s">
        <v>44</v>
      </c>
      <c r="P48" t="s">
        <v>86</v>
      </c>
    </row>
    <row r="49" spans="1:16" x14ac:dyDescent="0.25">
      <c r="A49" s="69">
        <v>46095</v>
      </c>
      <c r="B49" t="s">
        <v>57</v>
      </c>
      <c r="C49">
        <v>-300</v>
      </c>
      <c r="D49" t="s">
        <v>46</v>
      </c>
      <c r="E49" t="s">
        <v>37</v>
      </c>
      <c r="G49" t="s">
        <v>58</v>
      </c>
      <c r="I49" s="2"/>
      <c r="J49">
        <v>3</v>
      </c>
      <c r="K49">
        <v>2026</v>
      </c>
      <c r="L49" t="s">
        <v>88</v>
      </c>
      <c r="M49">
        <v>4</v>
      </c>
      <c r="N49" s="2">
        <v>46122</v>
      </c>
      <c r="O49" t="s">
        <v>44</v>
      </c>
      <c r="P49" t="s">
        <v>86</v>
      </c>
    </row>
    <row r="50" spans="1:16" x14ac:dyDescent="0.25">
      <c r="A50" s="69">
        <v>46099</v>
      </c>
      <c r="B50" t="s">
        <v>63</v>
      </c>
      <c r="C50">
        <v>-245</v>
      </c>
      <c r="D50" t="s">
        <v>49</v>
      </c>
      <c r="E50" t="s">
        <v>37</v>
      </c>
      <c r="G50" t="s">
        <v>60</v>
      </c>
      <c r="I50" s="2"/>
      <c r="J50">
        <v>3</v>
      </c>
      <c r="K50">
        <v>2026</v>
      </c>
      <c r="L50" t="s">
        <v>81</v>
      </c>
      <c r="M50">
        <v>1</v>
      </c>
      <c r="N50" s="2">
        <v>46122</v>
      </c>
      <c r="O50" t="s">
        <v>44</v>
      </c>
      <c r="P50" t="s">
        <v>86</v>
      </c>
    </row>
    <row r="51" spans="1:16" x14ac:dyDescent="0.25">
      <c r="A51" s="69">
        <v>46101</v>
      </c>
      <c r="B51" t="s">
        <v>41</v>
      </c>
      <c r="C51">
        <v>-14.9</v>
      </c>
      <c r="D51" t="s">
        <v>42</v>
      </c>
      <c r="E51" t="s">
        <v>37</v>
      </c>
      <c r="G51" t="s">
        <v>43</v>
      </c>
      <c r="I51" s="2"/>
      <c r="J51">
        <v>3</v>
      </c>
      <c r="K51">
        <v>2026</v>
      </c>
      <c r="L51">
        <v>3</v>
      </c>
      <c r="M51">
        <v>3</v>
      </c>
      <c r="N51" s="2">
        <v>46122</v>
      </c>
      <c r="O51" t="s">
        <v>44</v>
      </c>
      <c r="P51" t="s">
        <v>86</v>
      </c>
    </row>
    <row r="52" spans="1:16" x14ac:dyDescent="0.25">
      <c r="A52" s="69">
        <v>46101</v>
      </c>
      <c r="B52" t="s">
        <v>8</v>
      </c>
      <c r="C52">
        <v>-55.9</v>
      </c>
      <c r="D52" t="s">
        <v>42</v>
      </c>
      <c r="E52" t="s">
        <v>37</v>
      </c>
      <c r="G52" t="s">
        <v>43</v>
      </c>
      <c r="I52" s="2"/>
      <c r="J52">
        <v>3</v>
      </c>
      <c r="K52">
        <v>2026</v>
      </c>
      <c r="L52">
        <v>4</v>
      </c>
      <c r="M52">
        <v>3</v>
      </c>
      <c r="N52" s="2">
        <v>46122</v>
      </c>
      <c r="O52" t="s">
        <v>44</v>
      </c>
      <c r="P52" t="s">
        <v>86</v>
      </c>
    </row>
    <row r="53" spans="1:16" x14ac:dyDescent="0.25">
      <c r="A53" s="69">
        <v>46101</v>
      </c>
      <c r="B53" t="s">
        <v>26</v>
      </c>
      <c r="C53">
        <v>-21.9</v>
      </c>
      <c r="D53" t="s">
        <v>42</v>
      </c>
      <c r="E53" t="s">
        <v>37</v>
      </c>
      <c r="G53" t="s">
        <v>43</v>
      </c>
      <c r="I53" s="2"/>
      <c r="J53">
        <v>3</v>
      </c>
      <c r="K53">
        <v>2026</v>
      </c>
      <c r="L53">
        <v>4</v>
      </c>
      <c r="M53">
        <v>3</v>
      </c>
      <c r="N53" s="2">
        <v>46122</v>
      </c>
      <c r="O53" t="s">
        <v>44</v>
      </c>
      <c r="P53" t="s">
        <v>86</v>
      </c>
    </row>
    <row r="54" spans="1:16" x14ac:dyDescent="0.25">
      <c r="A54" s="69">
        <v>46101</v>
      </c>
      <c r="B54" t="s">
        <v>59</v>
      </c>
      <c r="C54">
        <v>-160</v>
      </c>
      <c r="D54" t="s">
        <v>46</v>
      </c>
      <c r="E54" t="s">
        <v>37</v>
      </c>
      <c r="G54" t="s">
        <v>60</v>
      </c>
      <c r="I54" s="2"/>
      <c r="J54">
        <v>3</v>
      </c>
      <c r="K54">
        <v>2026</v>
      </c>
      <c r="L54" t="s">
        <v>89</v>
      </c>
      <c r="M54">
        <v>2</v>
      </c>
      <c r="N54" s="2">
        <v>46122</v>
      </c>
      <c r="O54" t="s">
        <v>44</v>
      </c>
      <c r="P54" t="s">
        <v>86</v>
      </c>
    </row>
    <row r="55" spans="1:16" x14ac:dyDescent="0.25">
      <c r="A55" s="69">
        <v>46103</v>
      </c>
      <c r="B55" t="s">
        <v>64</v>
      </c>
      <c r="C55">
        <v>-78</v>
      </c>
      <c r="D55" t="s">
        <v>49</v>
      </c>
      <c r="E55" t="s">
        <v>37</v>
      </c>
      <c r="G55" t="s">
        <v>43</v>
      </c>
      <c r="I55" s="2"/>
      <c r="J55">
        <v>3</v>
      </c>
      <c r="K55">
        <v>2026</v>
      </c>
      <c r="L55" t="s">
        <v>81</v>
      </c>
      <c r="M55">
        <v>1</v>
      </c>
      <c r="N55" s="2">
        <v>46122</v>
      </c>
      <c r="O55" t="s">
        <v>44</v>
      </c>
      <c r="P55" t="s">
        <v>86</v>
      </c>
    </row>
    <row r="56" spans="1:16" x14ac:dyDescent="0.25">
      <c r="A56" s="69">
        <v>46113</v>
      </c>
      <c r="B56" t="s">
        <v>55</v>
      </c>
      <c r="C56">
        <v>-300</v>
      </c>
      <c r="D56" t="s">
        <v>49</v>
      </c>
      <c r="E56" t="s">
        <v>37</v>
      </c>
      <c r="G56" t="s">
        <v>56</v>
      </c>
      <c r="I56" s="2"/>
      <c r="J56">
        <v>4</v>
      </c>
      <c r="K56">
        <v>2026</v>
      </c>
      <c r="L56" t="s">
        <v>81</v>
      </c>
      <c r="M56">
        <v>1</v>
      </c>
      <c r="N56" s="2">
        <v>46152</v>
      </c>
      <c r="O56" t="s">
        <v>61</v>
      </c>
      <c r="P56" t="s">
        <v>104</v>
      </c>
    </row>
    <row r="57" spans="1:16" x14ac:dyDescent="0.25">
      <c r="A57" s="69">
        <v>46117</v>
      </c>
      <c r="B57" t="s">
        <v>45</v>
      </c>
      <c r="C57">
        <v>-246.54</v>
      </c>
      <c r="D57" t="s">
        <v>46</v>
      </c>
      <c r="E57" t="s">
        <v>37</v>
      </c>
      <c r="G57" t="s">
        <v>47</v>
      </c>
      <c r="I57" s="2"/>
      <c r="J57">
        <v>4</v>
      </c>
      <c r="K57">
        <v>2026</v>
      </c>
      <c r="L57" s="72" t="s">
        <v>84</v>
      </c>
      <c r="M57">
        <v>2</v>
      </c>
      <c r="N57" s="2">
        <v>46152</v>
      </c>
      <c r="O57" t="s">
        <v>61</v>
      </c>
      <c r="P57" t="s">
        <v>104</v>
      </c>
    </row>
    <row r="58" spans="1:16" x14ac:dyDescent="0.25">
      <c r="A58" s="69">
        <v>46118</v>
      </c>
      <c r="B58" t="s">
        <v>29</v>
      </c>
      <c r="C58">
        <v>-129.99</v>
      </c>
      <c r="D58" t="s">
        <v>49</v>
      </c>
      <c r="E58" t="s">
        <v>37</v>
      </c>
      <c r="G58" t="s">
        <v>50</v>
      </c>
      <c r="I58" s="2"/>
      <c r="J58">
        <v>4</v>
      </c>
      <c r="K58">
        <v>2026</v>
      </c>
      <c r="L58" t="s">
        <v>81</v>
      </c>
      <c r="M58">
        <v>1</v>
      </c>
      <c r="N58" s="2">
        <v>46152</v>
      </c>
      <c r="O58" t="s">
        <v>61</v>
      </c>
      <c r="P58" t="s">
        <v>104</v>
      </c>
    </row>
    <row r="59" spans="1:16" x14ac:dyDescent="0.25">
      <c r="A59" s="69">
        <v>46120</v>
      </c>
      <c r="B59" t="s">
        <v>53</v>
      </c>
      <c r="C59">
        <v>-86.5</v>
      </c>
      <c r="D59" t="s">
        <v>49</v>
      </c>
      <c r="E59" t="s">
        <v>37</v>
      </c>
      <c r="G59" t="s">
        <v>54</v>
      </c>
      <c r="I59" s="2"/>
      <c r="J59">
        <v>4</v>
      </c>
      <c r="K59">
        <v>2026</v>
      </c>
      <c r="L59" s="72" t="s">
        <v>81</v>
      </c>
      <c r="M59">
        <v>1</v>
      </c>
      <c r="N59" s="2">
        <v>46152</v>
      </c>
      <c r="O59" t="s">
        <v>61</v>
      </c>
      <c r="P59" t="s">
        <v>104</v>
      </c>
    </row>
  </sheetData>
  <phoneticPr fontId="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6452E-CDD5-4467-BEAB-874E0B3E8F77}">
  <sheetPr codeName="Planilha5"/>
  <dimension ref="A1:G121"/>
  <sheetViews>
    <sheetView topLeftCell="A13" workbookViewId="0">
      <selection activeCell="D3" sqref="D3"/>
    </sheetView>
  </sheetViews>
  <sheetFormatPr defaultRowHeight="15" x14ac:dyDescent="0.25"/>
  <cols>
    <col min="1" max="1" width="10.42578125" bestFit="1" customWidth="1"/>
    <col min="3" max="3" width="11.140625" customWidth="1"/>
    <col min="5" max="5" width="12.42578125" customWidth="1"/>
    <col min="6" max="6" width="10.42578125" bestFit="1" customWidth="1"/>
    <col min="7" max="7" width="11.85546875" customWidth="1"/>
  </cols>
  <sheetData>
    <row r="1" spans="1:7" x14ac:dyDescent="0.25">
      <c r="A1" t="s">
        <v>1</v>
      </c>
      <c r="B1" t="s">
        <v>76</v>
      </c>
      <c r="C1" t="s">
        <v>92</v>
      </c>
      <c r="D1" t="s">
        <v>66</v>
      </c>
      <c r="E1" t="s">
        <v>93</v>
      </c>
      <c r="F1" t="s">
        <v>94</v>
      </c>
      <c r="G1" t="s">
        <v>95</v>
      </c>
    </row>
    <row r="2" spans="1:7" x14ac:dyDescent="0.25">
      <c r="A2" s="2">
        <f>DATE(2026,1,1)</f>
        <v>46023</v>
      </c>
      <c r="B2">
        <f t="shared" ref="B2:B21" si="0">YEAR(A2)</f>
        <v>2026</v>
      </c>
      <c r="C2">
        <f t="shared" ref="C2:C21" si="1">MONTH(A2)</f>
        <v>1</v>
      </c>
      <c r="D2" t="str">
        <f t="shared" ref="D2:D33" si="2">PROPER(TEXT(A2,"mmmm"))</f>
        <v>Janeiro</v>
      </c>
      <c r="E2" t="str">
        <f>TEXT(A2,"mmm")</f>
        <v>jan</v>
      </c>
      <c r="F2" s="2" t="str">
        <f t="shared" ref="F2:F33" si="3">PROPER(TEXT(A2,"mmmm")&amp;"/"&amp;YEAR(A2))</f>
        <v>Janeiro/2026</v>
      </c>
      <c r="G2" t="str">
        <f t="shared" ref="G2:G21" si="4">"T"&amp;INT((MONTH(A2)-1)/3)+1</f>
        <v>T1</v>
      </c>
    </row>
    <row r="3" spans="1:7" x14ac:dyDescent="0.25">
      <c r="A3" s="2">
        <f t="shared" ref="A3:A22" si="5">A2+1</f>
        <v>46024</v>
      </c>
      <c r="B3">
        <f t="shared" si="0"/>
        <v>2026</v>
      </c>
      <c r="C3">
        <f t="shared" si="1"/>
        <v>1</v>
      </c>
      <c r="D3" t="str">
        <f t="shared" si="2"/>
        <v>Janeiro</v>
      </c>
      <c r="E3" t="str">
        <f t="shared" ref="E3:E21" si="6">TEXT(A3,"mmm")</f>
        <v>jan</v>
      </c>
      <c r="F3" s="2" t="str">
        <f t="shared" si="3"/>
        <v>Janeiro/2026</v>
      </c>
      <c r="G3" t="str">
        <f t="shared" si="4"/>
        <v>T1</v>
      </c>
    </row>
    <row r="4" spans="1:7" x14ac:dyDescent="0.25">
      <c r="A4" s="2">
        <f t="shared" si="5"/>
        <v>46025</v>
      </c>
      <c r="B4">
        <f t="shared" si="0"/>
        <v>2026</v>
      </c>
      <c r="C4">
        <f t="shared" si="1"/>
        <v>1</v>
      </c>
      <c r="D4" t="str">
        <f t="shared" si="2"/>
        <v>Janeiro</v>
      </c>
      <c r="E4" t="str">
        <f t="shared" si="6"/>
        <v>jan</v>
      </c>
      <c r="F4" s="2" t="str">
        <f t="shared" si="3"/>
        <v>Janeiro/2026</v>
      </c>
      <c r="G4" t="str">
        <f t="shared" si="4"/>
        <v>T1</v>
      </c>
    </row>
    <row r="5" spans="1:7" x14ac:dyDescent="0.25">
      <c r="A5" s="2">
        <f t="shared" si="5"/>
        <v>46026</v>
      </c>
      <c r="B5">
        <f t="shared" si="0"/>
        <v>2026</v>
      </c>
      <c r="C5">
        <f t="shared" si="1"/>
        <v>1</v>
      </c>
      <c r="D5" t="str">
        <f t="shared" si="2"/>
        <v>Janeiro</v>
      </c>
      <c r="E5" t="str">
        <f t="shared" si="6"/>
        <v>jan</v>
      </c>
      <c r="F5" s="2" t="str">
        <f t="shared" si="3"/>
        <v>Janeiro/2026</v>
      </c>
      <c r="G5" t="str">
        <f t="shared" si="4"/>
        <v>T1</v>
      </c>
    </row>
    <row r="6" spans="1:7" x14ac:dyDescent="0.25">
      <c r="A6" s="2">
        <f t="shared" si="5"/>
        <v>46027</v>
      </c>
      <c r="B6">
        <f t="shared" si="0"/>
        <v>2026</v>
      </c>
      <c r="C6">
        <f t="shared" si="1"/>
        <v>1</v>
      </c>
      <c r="D6" t="str">
        <f t="shared" si="2"/>
        <v>Janeiro</v>
      </c>
      <c r="E6" t="str">
        <f t="shared" si="6"/>
        <v>jan</v>
      </c>
      <c r="F6" s="2" t="str">
        <f t="shared" si="3"/>
        <v>Janeiro/2026</v>
      </c>
      <c r="G6" t="str">
        <f t="shared" si="4"/>
        <v>T1</v>
      </c>
    </row>
    <row r="7" spans="1:7" x14ac:dyDescent="0.25">
      <c r="A7" s="2">
        <f t="shared" si="5"/>
        <v>46028</v>
      </c>
      <c r="B7">
        <f t="shared" si="0"/>
        <v>2026</v>
      </c>
      <c r="C7">
        <f t="shared" si="1"/>
        <v>1</v>
      </c>
      <c r="D7" t="str">
        <f t="shared" si="2"/>
        <v>Janeiro</v>
      </c>
      <c r="E7" t="str">
        <f t="shared" si="6"/>
        <v>jan</v>
      </c>
      <c r="F7" s="2" t="str">
        <f t="shared" si="3"/>
        <v>Janeiro/2026</v>
      </c>
      <c r="G7" t="str">
        <f t="shared" si="4"/>
        <v>T1</v>
      </c>
    </row>
    <row r="8" spans="1:7" x14ac:dyDescent="0.25">
      <c r="A8" s="2">
        <f t="shared" si="5"/>
        <v>46029</v>
      </c>
      <c r="B8">
        <f t="shared" si="0"/>
        <v>2026</v>
      </c>
      <c r="C8">
        <f t="shared" si="1"/>
        <v>1</v>
      </c>
      <c r="D8" t="str">
        <f t="shared" si="2"/>
        <v>Janeiro</v>
      </c>
      <c r="E8" t="str">
        <f t="shared" si="6"/>
        <v>jan</v>
      </c>
      <c r="F8" s="2" t="str">
        <f t="shared" si="3"/>
        <v>Janeiro/2026</v>
      </c>
      <c r="G8" t="str">
        <f t="shared" si="4"/>
        <v>T1</v>
      </c>
    </row>
    <row r="9" spans="1:7" x14ac:dyDescent="0.25">
      <c r="A9" s="2">
        <f t="shared" si="5"/>
        <v>46030</v>
      </c>
      <c r="B9">
        <f t="shared" si="0"/>
        <v>2026</v>
      </c>
      <c r="C9">
        <f t="shared" si="1"/>
        <v>1</v>
      </c>
      <c r="D9" t="str">
        <f t="shared" si="2"/>
        <v>Janeiro</v>
      </c>
      <c r="E9" t="str">
        <f t="shared" si="6"/>
        <v>jan</v>
      </c>
      <c r="F9" s="2" t="str">
        <f t="shared" si="3"/>
        <v>Janeiro/2026</v>
      </c>
      <c r="G9" t="str">
        <f t="shared" si="4"/>
        <v>T1</v>
      </c>
    </row>
    <row r="10" spans="1:7" x14ac:dyDescent="0.25">
      <c r="A10" s="2">
        <f t="shared" si="5"/>
        <v>46031</v>
      </c>
      <c r="B10">
        <f t="shared" si="0"/>
        <v>2026</v>
      </c>
      <c r="C10">
        <f t="shared" si="1"/>
        <v>1</v>
      </c>
      <c r="D10" t="str">
        <f t="shared" si="2"/>
        <v>Janeiro</v>
      </c>
      <c r="E10" t="str">
        <f t="shared" si="6"/>
        <v>jan</v>
      </c>
      <c r="F10" s="2" t="str">
        <f t="shared" si="3"/>
        <v>Janeiro/2026</v>
      </c>
      <c r="G10" t="str">
        <f t="shared" si="4"/>
        <v>T1</v>
      </c>
    </row>
    <row r="11" spans="1:7" x14ac:dyDescent="0.25">
      <c r="A11" s="2">
        <f t="shared" si="5"/>
        <v>46032</v>
      </c>
      <c r="B11">
        <f t="shared" si="0"/>
        <v>2026</v>
      </c>
      <c r="C11">
        <f t="shared" si="1"/>
        <v>1</v>
      </c>
      <c r="D11" t="str">
        <f t="shared" si="2"/>
        <v>Janeiro</v>
      </c>
      <c r="E11" t="str">
        <f t="shared" si="6"/>
        <v>jan</v>
      </c>
      <c r="F11" s="2" t="str">
        <f t="shared" si="3"/>
        <v>Janeiro/2026</v>
      </c>
      <c r="G11" t="str">
        <f t="shared" si="4"/>
        <v>T1</v>
      </c>
    </row>
    <row r="12" spans="1:7" x14ac:dyDescent="0.25">
      <c r="A12" s="2">
        <f t="shared" si="5"/>
        <v>46033</v>
      </c>
      <c r="B12">
        <f t="shared" si="0"/>
        <v>2026</v>
      </c>
      <c r="C12">
        <f t="shared" si="1"/>
        <v>1</v>
      </c>
      <c r="D12" t="str">
        <f t="shared" si="2"/>
        <v>Janeiro</v>
      </c>
      <c r="E12" t="str">
        <f t="shared" si="6"/>
        <v>jan</v>
      </c>
      <c r="F12" s="2" t="str">
        <f t="shared" si="3"/>
        <v>Janeiro/2026</v>
      </c>
      <c r="G12" t="str">
        <f t="shared" si="4"/>
        <v>T1</v>
      </c>
    </row>
    <row r="13" spans="1:7" x14ac:dyDescent="0.25">
      <c r="A13" s="2">
        <f t="shared" si="5"/>
        <v>46034</v>
      </c>
      <c r="B13">
        <f t="shared" si="0"/>
        <v>2026</v>
      </c>
      <c r="C13">
        <f t="shared" si="1"/>
        <v>1</v>
      </c>
      <c r="D13" t="str">
        <f t="shared" si="2"/>
        <v>Janeiro</v>
      </c>
      <c r="E13" t="str">
        <f t="shared" si="6"/>
        <v>jan</v>
      </c>
      <c r="F13" s="2" t="str">
        <f t="shared" si="3"/>
        <v>Janeiro/2026</v>
      </c>
      <c r="G13" t="str">
        <f t="shared" si="4"/>
        <v>T1</v>
      </c>
    </row>
    <row r="14" spans="1:7" x14ac:dyDescent="0.25">
      <c r="A14" s="2">
        <f t="shared" si="5"/>
        <v>46035</v>
      </c>
      <c r="B14">
        <f t="shared" si="0"/>
        <v>2026</v>
      </c>
      <c r="C14">
        <f t="shared" si="1"/>
        <v>1</v>
      </c>
      <c r="D14" t="str">
        <f t="shared" si="2"/>
        <v>Janeiro</v>
      </c>
      <c r="E14" t="str">
        <f t="shared" si="6"/>
        <v>jan</v>
      </c>
      <c r="F14" s="2" t="str">
        <f t="shared" si="3"/>
        <v>Janeiro/2026</v>
      </c>
      <c r="G14" t="str">
        <f t="shared" si="4"/>
        <v>T1</v>
      </c>
    </row>
    <row r="15" spans="1:7" x14ac:dyDescent="0.25">
      <c r="A15" s="2">
        <f t="shared" si="5"/>
        <v>46036</v>
      </c>
      <c r="B15">
        <f t="shared" si="0"/>
        <v>2026</v>
      </c>
      <c r="C15">
        <f t="shared" si="1"/>
        <v>1</v>
      </c>
      <c r="D15" t="str">
        <f t="shared" si="2"/>
        <v>Janeiro</v>
      </c>
      <c r="E15" t="str">
        <f t="shared" si="6"/>
        <v>jan</v>
      </c>
      <c r="F15" s="2" t="str">
        <f t="shared" si="3"/>
        <v>Janeiro/2026</v>
      </c>
      <c r="G15" t="str">
        <f t="shared" si="4"/>
        <v>T1</v>
      </c>
    </row>
    <row r="16" spans="1:7" x14ac:dyDescent="0.25">
      <c r="A16" s="2">
        <f t="shared" si="5"/>
        <v>46037</v>
      </c>
      <c r="B16">
        <f t="shared" si="0"/>
        <v>2026</v>
      </c>
      <c r="C16">
        <f t="shared" si="1"/>
        <v>1</v>
      </c>
      <c r="D16" t="str">
        <f t="shared" si="2"/>
        <v>Janeiro</v>
      </c>
      <c r="E16" t="str">
        <f t="shared" si="6"/>
        <v>jan</v>
      </c>
      <c r="F16" s="2" t="str">
        <f t="shared" si="3"/>
        <v>Janeiro/2026</v>
      </c>
      <c r="G16" t="str">
        <f t="shared" si="4"/>
        <v>T1</v>
      </c>
    </row>
    <row r="17" spans="1:7" x14ac:dyDescent="0.25">
      <c r="A17" s="2">
        <f t="shared" si="5"/>
        <v>46038</v>
      </c>
      <c r="B17">
        <f t="shared" si="0"/>
        <v>2026</v>
      </c>
      <c r="C17">
        <f t="shared" si="1"/>
        <v>1</v>
      </c>
      <c r="D17" t="str">
        <f t="shared" si="2"/>
        <v>Janeiro</v>
      </c>
      <c r="E17" t="str">
        <f t="shared" si="6"/>
        <v>jan</v>
      </c>
      <c r="F17" s="2" t="str">
        <f t="shared" si="3"/>
        <v>Janeiro/2026</v>
      </c>
      <c r="G17" t="str">
        <f t="shared" si="4"/>
        <v>T1</v>
      </c>
    </row>
    <row r="18" spans="1:7" x14ac:dyDescent="0.25">
      <c r="A18" s="2">
        <f t="shared" si="5"/>
        <v>46039</v>
      </c>
      <c r="B18">
        <f t="shared" si="0"/>
        <v>2026</v>
      </c>
      <c r="C18">
        <f t="shared" si="1"/>
        <v>1</v>
      </c>
      <c r="D18" t="str">
        <f t="shared" si="2"/>
        <v>Janeiro</v>
      </c>
      <c r="E18" t="str">
        <f t="shared" si="6"/>
        <v>jan</v>
      </c>
      <c r="F18" s="2" t="str">
        <f t="shared" si="3"/>
        <v>Janeiro/2026</v>
      </c>
      <c r="G18" t="str">
        <f t="shared" si="4"/>
        <v>T1</v>
      </c>
    </row>
    <row r="19" spans="1:7" x14ac:dyDescent="0.25">
      <c r="A19" s="2">
        <f t="shared" si="5"/>
        <v>46040</v>
      </c>
      <c r="B19">
        <f t="shared" si="0"/>
        <v>2026</v>
      </c>
      <c r="C19">
        <f t="shared" si="1"/>
        <v>1</v>
      </c>
      <c r="D19" t="str">
        <f t="shared" si="2"/>
        <v>Janeiro</v>
      </c>
      <c r="E19" t="str">
        <f t="shared" si="6"/>
        <v>jan</v>
      </c>
      <c r="F19" s="2" t="str">
        <f t="shared" si="3"/>
        <v>Janeiro/2026</v>
      </c>
      <c r="G19" t="str">
        <f t="shared" si="4"/>
        <v>T1</v>
      </c>
    </row>
    <row r="20" spans="1:7" x14ac:dyDescent="0.25">
      <c r="A20" s="2">
        <f t="shared" si="5"/>
        <v>46041</v>
      </c>
      <c r="B20">
        <f t="shared" si="0"/>
        <v>2026</v>
      </c>
      <c r="C20">
        <f t="shared" si="1"/>
        <v>1</v>
      </c>
      <c r="D20" t="str">
        <f t="shared" si="2"/>
        <v>Janeiro</v>
      </c>
      <c r="E20" t="str">
        <f t="shared" si="6"/>
        <v>jan</v>
      </c>
      <c r="F20" s="2" t="str">
        <f t="shared" si="3"/>
        <v>Janeiro/2026</v>
      </c>
      <c r="G20" t="str">
        <f t="shared" si="4"/>
        <v>T1</v>
      </c>
    </row>
    <row r="21" spans="1:7" x14ac:dyDescent="0.25">
      <c r="A21" s="2">
        <f t="shared" si="5"/>
        <v>46042</v>
      </c>
      <c r="B21">
        <f t="shared" si="0"/>
        <v>2026</v>
      </c>
      <c r="C21">
        <f t="shared" si="1"/>
        <v>1</v>
      </c>
      <c r="D21" t="str">
        <f t="shared" si="2"/>
        <v>Janeiro</v>
      </c>
      <c r="E21" t="str">
        <f t="shared" si="6"/>
        <v>jan</v>
      </c>
      <c r="F21" s="2" t="str">
        <f t="shared" si="3"/>
        <v>Janeiro/2026</v>
      </c>
      <c r="G21" t="str">
        <f t="shared" si="4"/>
        <v>T1</v>
      </c>
    </row>
    <row r="22" spans="1:7" x14ac:dyDescent="0.25">
      <c r="A22" s="2">
        <f t="shared" si="5"/>
        <v>46043</v>
      </c>
      <c r="B22">
        <f t="shared" ref="B22:B85" si="7">YEAR(A22)</f>
        <v>2026</v>
      </c>
      <c r="C22">
        <f t="shared" ref="C22:C85" si="8">MONTH(A22)</f>
        <v>1</v>
      </c>
      <c r="D22" t="str">
        <f t="shared" si="2"/>
        <v>Janeiro</v>
      </c>
      <c r="E22" t="str">
        <f t="shared" ref="E22:E85" si="9">TEXT(A22,"mmm")</f>
        <v>jan</v>
      </c>
      <c r="F22" s="2" t="str">
        <f t="shared" si="3"/>
        <v>Janeiro/2026</v>
      </c>
      <c r="G22" t="str">
        <f t="shared" ref="G22:G85" si="10">"T"&amp;INT((MONTH(A22)-1)/3)+1</f>
        <v>T1</v>
      </c>
    </row>
    <row r="23" spans="1:7" x14ac:dyDescent="0.25">
      <c r="A23" s="2">
        <f t="shared" ref="A23:A86" si="11">A22+1</f>
        <v>46044</v>
      </c>
      <c r="B23">
        <f t="shared" si="7"/>
        <v>2026</v>
      </c>
      <c r="C23">
        <f t="shared" si="8"/>
        <v>1</v>
      </c>
      <c r="D23" t="str">
        <f t="shared" si="2"/>
        <v>Janeiro</v>
      </c>
      <c r="E23" t="str">
        <f t="shared" si="9"/>
        <v>jan</v>
      </c>
      <c r="F23" s="2" t="str">
        <f t="shared" si="3"/>
        <v>Janeiro/2026</v>
      </c>
      <c r="G23" t="str">
        <f t="shared" si="10"/>
        <v>T1</v>
      </c>
    </row>
    <row r="24" spans="1:7" x14ac:dyDescent="0.25">
      <c r="A24" s="2">
        <f t="shared" si="11"/>
        <v>46045</v>
      </c>
      <c r="B24">
        <f t="shared" si="7"/>
        <v>2026</v>
      </c>
      <c r="C24">
        <f t="shared" si="8"/>
        <v>1</v>
      </c>
      <c r="D24" t="str">
        <f t="shared" si="2"/>
        <v>Janeiro</v>
      </c>
      <c r="E24" t="str">
        <f t="shared" si="9"/>
        <v>jan</v>
      </c>
      <c r="F24" s="2" t="str">
        <f t="shared" si="3"/>
        <v>Janeiro/2026</v>
      </c>
      <c r="G24" t="str">
        <f t="shared" si="10"/>
        <v>T1</v>
      </c>
    </row>
    <row r="25" spans="1:7" x14ac:dyDescent="0.25">
      <c r="A25" s="2">
        <f t="shared" si="11"/>
        <v>46046</v>
      </c>
      <c r="B25">
        <f t="shared" si="7"/>
        <v>2026</v>
      </c>
      <c r="C25">
        <f t="shared" si="8"/>
        <v>1</v>
      </c>
      <c r="D25" t="str">
        <f t="shared" si="2"/>
        <v>Janeiro</v>
      </c>
      <c r="E25" t="str">
        <f t="shared" si="9"/>
        <v>jan</v>
      </c>
      <c r="F25" s="2" t="str">
        <f t="shared" si="3"/>
        <v>Janeiro/2026</v>
      </c>
      <c r="G25" t="str">
        <f t="shared" si="10"/>
        <v>T1</v>
      </c>
    </row>
    <row r="26" spans="1:7" x14ac:dyDescent="0.25">
      <c r="A26" s="2">
        <f t="shared" si="11"/>
        <v>46047</v>
      </c>
      <c r="B26">
        <f t="shared" si="7"/>
        <v>2026</v>
      </c>
      <c r="C26">
        <f t="shared" si="8"/>
        <v>1</v>
      </c>
      <c r="D26" t="str">
        <f t="shared" si="2"/>
        <v>Janeiro</v>
      </c>
      <c r="E26" t="str">
        <f t="shared" si="9"/>
        <v>jan</v>
      </c>
      <c r="F26" s="2" t="str">
        <f t="shared" si="3"/>
        <v>Janeiro/2026</v>
      </c>
      <c r="G26" t="str">
        <f t="shared" si="10"/>
        <v>T1</v>
      </c>
    </row>
    <row r="27" spans="1:7" x14ac:dyDescent="0.25">
      <c r="A27" s="2">
        <f t="shared" si="11"/>
        <v>46048</v>
      </c>
      <c r="B27">
        <f t="shared" si="7"/>
        <v>2026</v>
      </c>
      <c r="C27">
        <f t="shared" si="8"/>
        <v>1</v>
      </c>
      <c r="D27" t="str">
        <f t="shared" si="2"/>
        <v>Janeiro</v>
      </c>
      <c r="E27" t="str">
        <f t="shared" si="9"/>
        <v>jan</v>
      </c>
      <c r="F27" s="2" t="str">
        <f t="shared" si="3"/>
        <v>Janeiro/2026</v>
      </c>
      <c r="G27" t="str">
        <f t="shared" si="10"/>
        <v>T1</v>
      </c>
    </row>
    <row r="28" spans="1:7" x14ac:dyDescent="0.25">
      <c r="A28" s="2">
        <f t="shared" si="11"/>
        <v>46049</v>
      </c>
      <c r="B28">
        <f t="shared" si="7"/>
        <v>2026</v>
      </c>
      <c r="C28">
        <f t="shared" si="8"/>
        <v>1</v>
      </c>
      <c r="D28" t="str">
        <f t="shared" si="2"/>
        <v>Janeiro</v>
      </c>
      <c r="E28" t="str">
        <f t="shared" si="9"/>
        <v>jan</v>
      </c>
      <c r="F28" s="2" t="str">
        <f t="shared" si="3"/>
        <v>Janeiro/2026</v>
      </c>
      <c r="G28" t="str">
        <f t="shared" si="10"/>
        <v>T1</v>
      </c>
    </row>
    <row r="29" spans="1:7" x14ac:dyDescent="0.25">
      <c r="A29" s="2">
        <f t="shared" si="11"/>
        <v>46050</v>
      </c>
      <c r="B29">
        <f t="shared" si="7"/>
        <v>2026</v>
      </c>
      <c r="C29">
        <f t="shared" si="8"/>
        <v>1</v>
      </c>
      <c r="D29" t="str">
        <f t="shared" si="2"/>
        <v>Janeiro</v>
      </c>
      <c r="E29" t="str">
        <f t="shared" si="9"/>
        <v>jan</v>
      </c>
      <c r="F29" s="2" t="str">
        <f t="shared" si="3"/>
        <v>Janeiro/2026</v>
      </c>
      <c r="G29" t="str">
        <f t="shared" si="10"/>
        <v>T1</v>
      </c>
    </row>
    <row r="30" spans="1:7" x14ac:dyDescent="0.25">
      <c r="A30" s="2">
        <f t="shared" si="11"/>
        <v>46051</v>
      </c>
      <c r="B30">
        <f t="shared" si="7"/>
        <v>2026</v>
      </c>
      <c r="C30">
        <f t="shared" si="8"/>
        <v>1</v>
      </c>
      <c r="D30" t="str">
        <f t="shared" si="2"/>
        <v>Janeiro</v>
      </c>
      <c r="E30" t="str">
        <f t="shared" si="9"/>
        <v>jan</v>
      </c>
      <c r="F30" s="2" t="str">
        <f t="shared" si="3"/>
        <v>Janeiro/2026</v>
      </c>
      <c r="G30" t="str">
        <f t="shared" si="10"/>
        <v>T1</v>
      </c>
    </row>
    <row r="31" spans="1:7" x14ac:dyDescent="0.25">
      <c r="A31" s="2">
        <f t="shared" si="11"/>
        <v>46052</v>
      </c>
      <c r="B31">
        <f t="shared" si="7"/>
        <v>2026</v>
      </c>
      <c r="C31">
        <f t="shared" si="8"/>
        <v>1</v>
      </c>
      <c r="D31" t="str">
        <f t="shared" si="2"/>
        <v>Janeiro</v>
      </c>
      <c r="E31" t="str">
        <f t="shared" si="9"/>
        <v>jan</v>
      </c>
      <c r="F31" s="2" t="str">
        <f t="shared" si="3"/>
        <v>Janeiro/2026</v>
      </c>
      <c r="G31" t="str">
        <f t="shared" si="10"/>
        <v>T1</v>
      </c>
    </row>
    <row r="32" spans="1:7" x14ac:dyDescent="0.25">
      <c r="A32" s="2">
        <f t="shared" si="11"/>
        <v>46053</v>
      </c>
      <c r="B32">
        <f t="shared" si="7"/>
        <v>2026</v>
      </c>
      <c r="C32">
        <f t="shared" si="8"/>
        <v>1</v>
      </c>
      <c r="D32" t="str">
        <f t="shared" si="2"/>
        <v>Janeiro</v>
      </c>
      <c r="E32" t="str">
        <f t="shared" si="9"/>
        <v>jan</v>
      </c>
      <c r="F32" s="2" t="str">
        <f t="shared" si="3"/>
        <v>Janeiro/2026</v>
      </c>
      <c r="G32" t="str">
        <f t="shared" si="10"/>
        <v>T1</v>
      </c>
    </row>
    <row r="33" spans="1:7" x14ac:dyDescent="0.25">
      <c r="A33" s="2">
        <f t="shared" si="11"/>
        <v>46054</v>
      </c>
      <c r="B33">
        <f t="shared" si="7"/>
        <v>2026</v>
      </c>
      <c r="C33">
        <f t="shared" si="8"/>
        <v>2</v>
      </c>
      <c r="D33" t="str">
        <f t="shared" si="2"/>
        <v>Fevereiro</v>
      </c>
      <c r="E33" t="str">
        <f t="shared" si="9"/>
        <v>fev</v>
      </c>
      <c r="F33" s="2" t="str">
        <f t="shared" si="3"/>
        <v>Fevereiro/2026</v>
      </c>
      <c r="G33" t="str">
        <f t="shared" si="10"/>
        <v>T1</v>
      </c>
    </row>
    <row r="34" spans="1:7" x14ac:dyDescent="0.25">
      <c r="A34" s="2">
        <f t="shared" si="11"/>
        <v>46055</v>
      </c>
      <c r="B34">
        <f t="shared" si="7"/>
        <v>2026</v>
      </c>
      <c r="C34">
        <f t="shared" si="8"/>
        <v>2</v>
      </c>
      <c r="D34" t="str">
        <f t="shared" ref="D34:D65" si="12">PROPER(TEXT(A34,"mmmm"))</f>
        <v>Fevereiro</v>
      </c>
      <c r="E34" t="str">
        <f t="shared" si="9"/>
        <v>fev</v>
      </c>
      <c r="F34" s="2" t="str">
        <f t="shared" ref="F34:F65" si="13">PROPER(TEXT(A34,"mmmm")&amp;"/"&amp;YEAR(A34))</f>
        <v>Fevereiro/2026</v>
      </c>
      <c r="G34" t="str">
        <f t="shared" si="10"/>
        <v>T1</v>
      </c>
    </row>
    <row r="35" spans="1:7" x14ac:dyDescent="0.25">
      <c r="A35" s="2">
        <f t="shared" si="11"/>
        <v>46056</v>
      </c>
      <c r="B35">
        <f t="shared" si="7"/>
        <v>2026</v>
      </c>
      <c r="C35">
        <f t="shared" si="8"/>
        <v>2</v>
      </c>
      <c r="D35" t="str">
        <f t="shared" si="12"/>
        <v>Fevereiro</v>
      </c>
      <c r="E35" t="str">
        <f t="shared" si="9"/>
        <v>fev</v>
      </c>
      <c r="F35" s="2" t="str">
        <f t="shared" si="13"/>
        <v>Fevereiro/2026</v>
      </c>
      <c r="G35" t="str">
        <f t="shared" si="10"/>
        <v>T1</v>
      </c>
    </row>
    <row r="36" spans="1:7" x14ac:dyDescent="0.25">
      <c r="A36" s="2">
        <f t="shared" si="11"/>
        <v>46057</v>
      </c>
      <c r="B36">
        <f t="shared" si="7"/>
        <v>2026</v>
      </c>
      <c r="C36">
        <f t="shared" si="8"/>
        <v>2</v>
      </c>
      <c r="D36" t="str">
        <f t="shared" si="12"/>
        <v>Fevereiro</v>
      </c>
      <c r="E36" t="str">
        <f t="shared" si="9"/>
        <v>fev</v>
      </c>
      <c r="F36" s="2" t="str">
        <f t="shared" si="13"/>
        <v>Fevereiro/2026</v>
      </c>
      <c r="G36" t="str">
        <f t="shared" si="10"/>
        <v>T1</v>
      </c>
    </row>
    <row r="37" spans="1:7" x14ac:dyDescent="0.25">
      <c r="A37" s="2">
        <f t="shared" si="11"/>
        <v>46058</v>
      </c>
      <c r="B37">
        <f t="shared" si="7"/>
        <v>2026</v>
      </c>
      <c r="C37">
        <f t="shared" si="8"/>
        <v>2</v>
      </c>
      <c r="D37" t="str">
        <f t="shared" si="12"/>
        <v>Fevereiro</v>
      </c>
      <c r="E37" t="str">
        <f t="shared" si="9"/>
        <v>fev</v>
      </c>
      <c r="F37" s="2" t="str">
        <f t="shared" si="13"/>
        <v>Fevereiro/2026</v>
      </c>
      <c r="G37" t="str">
        <f t="shared" si="10"/>
        <v>T1</v>
      </c>
    </row>
    <row r="38" spans="1:7" x14ac:dyDescent="0.25">
      <c r="A38" s="2">
        <f t="shared" si="11"/>
        <v>46059</v>
      </c>
      <c r="B38">
        <f t="shared" si="7"/>
        <v>2026</v>
      </c>
      <c r="C38">
        <f t="shared" si="8"/>
        <v>2</v>
      </c>
      <c r="D38" t="str">
        <f t="shared" si="12"/>
        <v>Fevereiro</v>
      </c>
      <c r="E38" t="str">
        <f t="shared" si="9"/>
        <v>fev</v>
      </c>
      <c r="F38" s="2" t="str">
        <f t="shared" si="13"/>
        <v>Fevereiro/2026</v>
      </c>
      <c r="G38" t="str">
        <f t="shared" si="10"/>
        <v>T1</v>
      </c>
    </row>
    <row r="39" spans="1:7" x14ac:dyDescent="0.25">
      <c r="A39" s="2">
        <f t="shared" si="11"/>
        <v>46060</v>
      </c>
      <c r="B39">
        <f t="shared" si="7"/>
        <v>2026</v>
      </c>
      <c r="C39">
        <f t="shared" si="8"/>
        <v>2</v>
      </c>
      <c r="D39" t="str">
        <f t="shared" si="12"/>
        <v>Fevereiro</v>
      </c>
      <c r="E39" t="str">
        <f t="shared" si="9"/>
        <v>fev</v>
      </c>
      <c r="F39" s="2" t="str">
        <f t="shared" si="13"/>
        <v>Fevereiro/2026</v>
      </c>
      <c r="G39" t="str">
        <f t="shared" si="10"/>
        <v>T1</v>
      </c>
    </row>
    <row r="40" spans="1:7" x14ac:dyDescent="0.25">
      <c r="A40" s="2">
        <f t="shared" si="11"/>
        <v>46061</v>
      </c>
      <c r="B40">
        <f t="shared" si="7"/>
        <v>2026</v>
      </c>
      <c r="C40">
        <f t="shared" si="8"/>
        <v>2</v>
      </c>
      <c r="D40" t="str">
        <f t="shared" si="12"/>
        <v>Fevereiro</v>
      </c>
      <c r="E40" t="str">
        <f t="shared" si="9"/>
        <v>fev</v>
      </c>
      <c r="F40" s="2" t="str">
        <f t="shared" si="13"/>
        <v>Fevereiro/2026</v>
      </c>
      <c r="G40" t="str">
        <f t="shared" si="10"/>
        <v>T1</v>
      </c>
    </row>
    <row r="41" spans="1:7" x14ac:dyDescent="0.25">
      <c r="A41" s="2">
        <f t="shared" si="11"/>
        <v>46062</v>
      </c>
      <c r="B41">
        <f t="shared" si="7"/>
        <v>2026</v>
      </c>
      <c r="C41">
        <f t="shared" si="8"/>
        <v>2</v>
      </c>
      <c r="D41" t="str">
        <f t="shared" si="12"/>
        <v>Fevereiro</v>
      </c>
      <c r="E41" t="str">
        <f t="shared" si="9"/>
        <v>fev</v>
      </c>
      <c r="F41" s="2" t="str">
        <f t="shared" si="13"/>
        <v>Fevereiro/2026</v>
      </c>
      <c r="G41" t="str">
        <f t="shared" si="10"/>
        <v>T1</v>
      </c>
    </row>
    <row r="42" spans="1:7" x14ac:dyDescent="0.25">
      <c r="A42" s="2">
        <f t="shared" si="11"/>
        <v>46063</v>
      </c>
      <c r="B42">
        <f t="shared" si="7"/>
        <v>2026</v>
      </c>
      <c r="C42">
        <f t="shared" si="8"/>
        <v>2</v>
      </c>
      <c r="D42" t="str">
        <f t="shared" si="12"/>
        <v>Fevereiro</v>
      </c>
      <c r="E42" t="str">
        <f t="shared" si="9"/>
        <v>fev</v>
      </c>
      <c r="F42" s="2" t="str">
        <f t="shared" si="13"/>
        <v>Fevereiro/2026</v>
      </c>
      <c r="G42" t="str">
        <f t="shared" si="10"/>
        <v>T1</v>
      </c>
    </row>
    <row r="43" spans="1:7" x14ac:dyDescent="0.25">
      <c r="A43" s="2">
        <f t="shared" si="11"/>
        <v>46064</v>
      </c>
      <c r="B43">
        <f t="shared" si="7"/>
        <v>2026</v>
      </c>
      <c r="C43">
        <f t="shared" si="8"/>
        <v>2</v>
      </c>
      <c r="D43" t="str">
        <f t="shared" si="12"/>
        <v>Fevereiro</v>
      </c>
      <c r="E43" t="str">
        <f t="shared" si="9"/>
        <v>fev</v>
      </c>
      <c r="F43" s="2" t="str">
        <f t="shared" si="13"/>
        <v>Fevereiro/2026</v>
      </c>
      <c r="G43" t="str">
        <f t="shared" si="10"/>
        <v>T1</v>
      </c>
    </row>
    <row r="44" spans="1:7" x14ac:dyDescent="0.25">
      <c r="A44" s="2">
        <f t="shared" si="11"/>
        <v>46065</v>
      </c>
      <c r="B44">
        <f t="shared" si="7"/>
        <v>2026</v>
      </c>
      <c r="C44">
        <f t="shared" si="8"/>
        <v>2</v>
      </c>
      <c r="D44" t="str">
        <f t="shared" si="12"/>
        <v>Fevereiro</v>
      </c>
      <c r="E44" t="str">
        <f t="shared" si="9"/>
        <v>fev</v>
      </c>
      <c r="F44" s="2" t="str">
        <f t="shared" si="13"/>
        <v>Fevereiro/2026</v>
      </c>
      <c r="G44" t="str">
        <f t="shared" si="10"/>
        <v>T1</v>
      </c>
    </row>
    <row r="45" spans="1:7" x14ac:dyDescent="0.25">
      <c r="A45" s="2">
        <f t="shared" si="11"/>
        <v>46066</v>
      </c>
      <c r="B45">
        <f t="shared" si="7"/>
        <v>2026</v>
      </c>
      <c r="C45">
        <f t="shared" si="8"/>
        <v>2</v>
      </c>
      <c r="D45" t="str">
        <f t="shared" si="12"/>
        <v>Fevereiro</v>
      </c>
      <c r="E45" t="str">
        <f t="shared" si="9"/>
        <v>fev</v>
      </c>
      <c r="F45" s="2" t="str">
        <f t="shared" si="13"/>
        <v>Fevereiro/2026</v>
      </c>
      <c r="G45" t="str">
        <f t="shared" si="10"/>
        <v>T1</v>
      </c>
    </row>
    <row r="46" spans="1:7" x14ac:dyDescent="0.25">
      <c r="A46" s="2">
        <f t="shared" si="11"/>
        <v>46067</v>
      </c>
      <c r="B46">
        <f t="shared" si="7"/>
        <v>2026</v>
      </c>
      <c r="C46">
        <f t="shared" si="8"/>
        <v>2</v>
      </c>
      <c r="D46" t="str">
        <f t="shared" si="12"/>
        <v>Fevereiro</v>
      </c>
      <c r="E46" t="str">
        <f t="shared" si="9"/>
        <v>fev</v>
      </c>
      <c r="F46" s="2" t="str">
        <f t="shared" si="13"/>
        <v>Fevereiro/2026</v>
      </c>
      <c r="G46" t="str">
        <f t="shared" si="10"/>
        <v>T1</v>
      </c>
    </row>
    <row r="47" spans="1:7" x14ac:dyDescent="0.25">
      <c r="A47" s="2">
        <f t="shared" si="11"/>
        <v>46068</v>
      </c>
      <c r="B47">
        <f t="shared" si="7"/>
        <v>2026</v>
      </c>
      <c r="C47">
        <f t="shared" si="8"/>
        <v>2</v>
      </c>
      <c r="D47" t="str">
        <f t="shared" si="12"/>
        <v>Fevereiro</v>
      </c>
      <c r="E47" t="str">
        <f t="shared" si="9"/>
        <v>fev</v>
      </c>
      <c r="F47" s="2" t="str">
        <f t="shared" si="13"/>
        <v>Fevereiro/2026</v>
      </c>
      <c r="G47" t="str">
        <f t="shared" si="10"/>
        <v>T1</v>
      </c>
    </row>
    <row r="48" spans="1:7" x14ac:dyDescent="0.25">
      <c r="A48" s="2">
        <f t="shared" si="11"/>
        <v>46069</v>
      </c>
      <c r="B48">
        <f t="shared" si="7"/>
        <v>2026</v>
      </c>
      <c r="C48">
        <f t="shared" si="8"/>
        <v>2</v>
      </c>
      <c r="D48" t="str">
        <f t="shared" si="12"/>
        <v>Fevereiro</v>
      </c>
      <c r="E48" t="str">
        <f t="shared" si="9"/>
        <v>fev</v>
      </c>
      <c r="F48" s="2" t="str">
        <f t="shared" si="13"/>
        <v>Fevereiro/2026</v>
      </c>
      <c r="G48" t="str">
        <f t="shared" si="10"/>
        <v>T1</v>
      </c>
    </row>
    <row r="49" spans="1:7" x14ac:dyDescent="0.25">
      <c r="A49" s="2">
        <f t="shared" si="11"/>
        <v>46070</v>
      </c>
      <c r="B49">
        <f t="shared" si="7"/>
        <v>2026</v>
      </c>
      <c r="C49">
        <f t="shared" si="8"/>
        <v>2</v>
      </c>
      <c r="D49" t="str">
        <f t="shared" si="12"/>
        <v>Fevereiro</v>
      </c>
      <c r="E49" t="str">
        <f t="shared" si="9"/>
        <v>fev</v>
      </c>
      <c r="F49" s="2" t="str">
        <f t="shared" si="13"/>
        <v>Fevereiro/2026</v>
      </c>
      <c r="G49" t="str">
        <f t="shared" si="10"/>
        <v>T1</v>
      </c>
    </row>
    <row r="50" spans="1:7" x14ac:dyDescent="0.25">
      <c r="A50" s="2">
        <f t="shared" si="11"/>
        <v>46071</v>
      </c>
      <c r="B50">
        <f t="shared" si="7"/>
        <v>2026</v>
      </c>
      <c r="C50">
        <f t="shared" si="8"/>
        <v>2</v>
      </c>
      <c r="D50" t="str">
        <f t="shared" si="12"/>
        <v>Fevereiro</v>
      </c>
      <c r="E50" t="str">
        <f t="shared" si="9"/>
        <v>fev</v>
      </c>
      <c r="F50" s="2" t="str">
        <f t="shared" si="13"/>
        <v>Fevereiro/2026</v>
      </c>
      <c r="G50" t="str">
        <f t="shared" si="10"/>
        <v>T1</v>
      </c>
    </row>
    <row r="51" spans="1:7" x14ac:dyDescent="0.25">
      <c r="A51" s="2">
        <f t="shared" si="11"/>
        <v>46072</v>
      </c>
      <c r="B51">
        <f t="shared" si="7"/>
        <v>2026</v>
      </c>
      <c r="C51">
        <f t="shared" si="8"/>
        <v>2</v>
      </c>
      <c r="D51" t="str">
        <f t="shared" si="12"/>
        <v>Fevereiro</v>
      </c>
      <c r="E51" t="str">
        <f t="shared" si="9"/>
        <v>fev</v>
      </c>
      <c r="F51" s="2" t="str">
        <f t="shared" si="13"/>
        <v>Fevereiro/2026</v>
      </c>
      <c r="G51" t="str">
        <f t="shared" si="10"/>
        <v>T1</v>
      </c>
    </row>
    <row r="52" spans="1:7" x14ac:dyDescent="0.25">
      <c r="A52" s="2">
        <f t="shared" si="11"/>
        <v>46073</v>
      </c>
      <c r="B52">
        <f t="shared" si="7"/>
        <v>2026</v>
      </c>
      <c r="C52">
        <f t="shared" si="8"/>
        <v>2</v>
      </c>
      <c r="D52" t="str">
        <f t="shared" si="12"/>
        <v>Fevereiro</v>
      </c>
      <c r="E52" t="str">
        <f t="shared" si="9"/>
        <v>fev</v>
      </c>
      <c r="F52" s="2" t="str">
        <f t="shared" si="13"/>
        <v>Fevereiro/2026</v>
      </c>
      <c r="G52" t="str">
        <f t="shared" si="10"/>
        <v>T1</v>
      </c>
    </row>
    <row r="53" spans="1:7" x14ac:dyDescent="0.25">
      <c r="A53" s="2">
        <f t="shared" si="11"/>
        <v>46074</v>
      </c>
      <c r="B53">
        <f t="shared" si="7"/>
        <v>2026</v>
      </c>
      <c r="C53">
        <f t="shared" si="8"/>
        <v>2</v>
      </c>
      <c r="D53" t="str">
        <f t="shared" si="12"/>
        <v>Fevereiro</v>
      </c>
      <c r="E53" t="str">
        <f t="shared" si="9"/>
        <v>fev</v>
      </c>
      <c r="F53" s="2" t="str">
        <f t="shared" si="13"/>
        <v>Fevereiro/2026</v>
      </c>
      <c r="G53" t="str">
        <f t="shared" si="10"/>
        <v>T1</v>
      </c>
    </row>
    <row r="54" spans="1:7" x14ac:dyDescent="0.25">
      <c r="A54" s="2">
        <f t="shared" si="11"/>
        <v>46075</v>
      </c>
      <c r="B54">
        <f t="shared" si="7"/>
        <v>2026</v>
      </c>
      <c r="C54">
        <f t="shared" si="8"/>
        <v>2</v>
      </c>
      <c r="D54" t="str">
        <f t="shared" si="12"/>
        <v>Fevereiro</v>
      </c>
      <c r="E54" t="str">
        <f t="shared" si="9"/>
        <v>fev</v>
      </c>
      <c r="F54" s="2" t="str">
        <f t="shared" si="13"/>
        <v>Fevereiro/2026</v>
      </c>
      <c r="G54" t="str">
        <f t="shared" si="10"/>
        <v>T1</v>
      </c>
    </row>
    <row r="55" spans="1:7" x14ac:dyDescent="0.25">
      <c r="A55" s="2">
        <f t="shared" si="11"/>
        <v>46076</v>
      </c>
      <c r="B55">
        <f t="shared" si="7"/>
        <v>2026</v>
      </c>
      <c r="C55">
        <f t="shared" si="8"/>
        <v>2</v>
      </c>
      <c r="D55" t="str">
        <f t="shared" si="12"/>
        <v>Fevereiro</v>
      </c>
      <c r="E55" t="str">
        <f t="shared" si="9"/>
        <v>fev</v>
      </c>
      <c r="F55" s="2" t="str">
        <f t="shared" si="13"/>
        <v>Fevereiro/2026</v>
      </c>
      <c r="G55" t="str">
        <f t="shared" si="10"/>
        <v>T1</v>
      </c>
    </row>
    <row r="56" spans="1:7" x14ac:dyDescent="0.25">
      <c r="A56" s="2">
        <f t="shared" si="11"/>
        <v>46077</v>
      </c>
      <c r="B56">
        <f t="shared" si="7"/>
        <v>2026</v>
      </c>
      <c r="C56">
        <f t="shared" si="8"/>
        <v>2</v>
      </c>
      <c r="D56" t="str">
        <f t="shared" si="12"/>
        <v>Fevereiro</v>
      </c>
      <c r="E56" t="str">
        <f t="shared" si="9"/>
        <v>fev</v>
      </c>
      <c r="F56" s="2" t="str">
        <f t="shared" si="13"/>
        <v>Fevereiro/2026</v>
      </c>
      <c r="G56" t="str">
        <f t="shared" si="10"/>
        <v>T1</v>
      </c>
    </row>
    <row r="57" spans="1:7" x14ac:dyDescent="0.25">
      <c r="A57" s="2">
        <f t="shared" si="11"/>
        <v>46078</v>
      </c>
      <c r="B57">
        <f t="shared" si="7"/>
        <v>2026</v>
      </c>
      <c r="C57">
        <f t="shared" si="8"/>
        <v>2</v>
      </c>
      <c r="D57" t="str">
        <f t="shared" si="12"/>
        <v>Fevereiro</v>
      </c>
      <c r="E57" t="str">
        <f t="shared" si="9"/>
        <v>fev</v>
      </c>
      <c r="F57" s="2" t="str">
        <f t="shared" si="13"/>
        <v>Fevereiro/2026</v>
      </c>
      <c r="G57" t="str">
        <f t="shared" si="10"/>
        <v>T1</v>
      </c>
    </row>
    <row r="58" spans="1:7" x14ac:dyDescent="0.25">
      <c r="A58" s="2">
        <f t="shared" si="11"/>
        <v>46079</v>
      </c>
      <c r="B58">
        <f t="shared" si="7"/>
        <v>2026</v>
      </c>
      <c r="C58">
        <f t="shared" si="8"/>
        <v>2</v>
      </c>
      <c r="D58" t="str">
        <f t="shared" si="12"/>
        <v>Fevereiro</v>
      </c>
      <c r="E58" t="str">
        <f t="shared" si="9"/>
        <v>fev</v>
      </c>
      <c r="F58" s="2" t="str">
        <f t="shared" si="13"/>
        <v>Fevereiro/2026</v>
      </c>
      <c r="G58" t="str">
        <f t="shared" si="10"/>
        <v>T1</v>
      </c>
    </row>
    <row r="59" spans="1:7" x14ac:dyDescent="0.25">
      <c r="A59" s="2">
        <f t="shared" si="11"/>
        <v>46080</v>
      </c>
      <c r="B59">
        <f t="shared" si="7"/>
        <v>2026</v>
      </c>
      <c r="C59">
        <f t="shared" si="8"/>
        <v>2</v>
      </c>
      <c r="D59" t="str">
        <f t="shared" si="12"/>
        <v>Fevereiro</v>
      </c>
      <c r="E59" t="str">
        <f t="shared" si="9"/>
        <v>fev</v>
      </c>
      <c r="F59" s="2" t="str">
        <f t="shared" si="13"/>
        <v>Fevereiro/2026</v>
      </c>
      <c r="G59" t="str">
        <f t="shared" si="10"/>
        <v>T1</v>
      </c>
    </row>
    <row r="60" spans="1:7" x14ac:dyDescent="0.25">
      <c r="A60" s="2">
        <f t="shared" si="11"/>
        <v>46081</v>
      </c>
      <c r="B60">
        <f t="shared" si="7"/>
        <v>2026</v>
      </c>
      <c r="C60">
        <f t="shared" si="8"/>
        <v>2</v>
      </c>
      <c r="D60" t="str">
        <f t="shared" si="12"/>
        <v>Fevereiro</v>
      </c>
      <c r="E60" t="str">
        <f t="shared" si="9"/>
        <v>fev</v>
      </c>
      <c r="F60" s="2" t="str">
        <f t="shared" si="13"/>
        <v>Fevereiro/2026</v>
      </c>
      <c r="G60" t="str">
        <f t="shared" si="10"/>
        <v>T1</v>
      </c>
    </row>
    <row r="61" spans="1:7" x14ac:dyDescent="0.25">
      <c r="A61" s="2">
        <f t="shared" si="11"/>
        <v>46082</v>
      </c>
      <c r="B61">
        <f t="shared" si="7"/>
        <v>2026</v>
      </c>
      <c r="C61">
        <f t="shared" si="8"/>
        <v>3</v>
      </c>
      <c r="D61" t="str">
        <f t="shared" si="12"/>
        <v>Março</v>
      </c>
      <c r="E61" t="str">
        <f t="shared" si="9"/>
        <v>mar</v>
      </c>
      <c r="F61" s="2" t="str">
        <f t="shared" si="13"/>
        <v>Março/2026</v>
      </c>
      <c r="G61" t="str">
        <f t="shared" si="10"/>
        <v>T1</v>
      </c>
    </row>
    <row r="62" spans="1:7" x14ac:dyDescent="0.25">
      <c r="A62" s="2">
        <f t="shared" si="11"/>
        <v>46083</v>
      </c>
      <c r="B62">
        <f t="shared" si="7"/>
        <v>2026</v>
      </c>
      <c r="C62">
        <f t="shared" si="8"/>
        <v>3</v>
      </c>
      <c r="D62" t="str">
        <f t="shared" si="12"/>
        <v>Março</v>
      </c>
      <c r="E62" t="str">
        <f t="shared" si="9"/>
        <v>mar</v>
      </c>
      <c r="F62" s="2" t="str">
        <f t="shared" si="13"/>
        <v>Março/2026</v>
      </c>
      <c r="G62" t="str">
        <f t="shared" si="10"/>
        <v>T1</v>
      </c>
    </row>
    <row r="63" spans="1:7" x14ac:dyDescent="0.25">
      <c r="A63" s="2">
        <f t="shared" si="11"/>
        <v>46084</v>
      </c>
      <c r="B63">
        <f t="shared" si="7"/>
        <v>2026</v>
      </c>
      <c r="C63">
        <f t="shared" si="8"/>
        <v>3</v>
      </c>
      <c r="D63" t="str">
        <f t="shared" si="12"/>
        <v>Março</v>
      </c>
      <c r="E63" t="str">
        <f t="shared" si="9"/>
        <v>mar</v>
      </c>
      <c r="F63" s="2" t="str">
        <f t="shared" si="13"/>
        <v>Março/2026</v>
      </c>
      <c r="G63" t="str">
        <f t="shared" si="10"/>
        <v>T1</v>
      </c>
    </row>
    <row r="64" spans="1:7" x14ac:dyDescent="0.25">
      <c r="A64" s="2">
        <f t="shared" si="11"/>
        <v>46085</v>
      </c>
      <c r="B64">
        <f t="shared" si="7"/>
        <v>2026</v>
      </c>
      <c r="C64">
        <f t="shared" si="8"/>
        <v>3</v>
      </c>
      <c r="D64" t="str">
        <f t="shared" si="12"/>
        <v>Março</v>
      </c>
      <c r="E64" t="str">
        <f t="shared" si="9"/>
        <v>mar</v>
      </c>
      <c r="F64" s="2" t="str">
        <f t="shared" si="13"/>
        <v>Março/2026</v>
      </c>
      <c r="G64" t="str">
        <f t="shared" si="10"/>
        <v>T1</v>
      </c>
    </row>
    <row r="65" spans="1:7" x14ac:dyDescent="0.25">
      <c r="A65" s="2">
        <f t="shared" si="11"/>
        <v>46086</v>
      </c>
      <c r="B65">
        <f t="shared" si="7"/>
        <v>2026</v>
      </c>
      <c r="C65">
        <f t="shared" si="8"/>
        <v>3</v>
      </c>
      <c r="D65" t="str">
        <f t="shared" si="12"/>
        <v>Março</v>
      </c>
      <c r="E65" t="str">
        <f t="shared" si="9"/>
        <v>mar</v>
      </c>
      <c r="F65" s="2" t="str">
        <f t="shared" si="13"/>
        <v>Março/2026</v>
      </c>
      <c r="G65" t="str">
        <f t="shared" si="10"/>
        <v>T1</v>
      </c>
    </row>
    <row r="66" spans="1:7" x14ac:dyDescent="0.25">
      <c r="A66" s="2">
        <f t="shared" si="11"/>
        <v>46087</v>
      </c>
      <c r="B66">
        <f t="shared" si="7"/>
        <v>2026</v>
      </c>
      <c r="C66">
        <f t="shared" si="8"/>
        <v>3</v>
      </c>
      <c r="D66" t="str">
        <f t="shared" ref="D66:D97" si="14">PROPER(TEXT(A66,"mmmm"))</f>
        <v>Março</v>
      </c>
      <c r="E66" t="str">
        <f t="shared" si="9"/>
        <v>mar</v>
      </c>
      <c r="F66" s="2" t="str">
        <f t="shared" ref="F66:F97" si="15">PROPER(TEXT(A66,"mmmm")&amp;"/"&amp;YEAR(A66))</f>
        <v>Março/2026</v>
      </c>
      <c r="G66" t="str">
        <f t="shared" si="10"/>
        <v>T1</v>
      </c>
    </row>
    <row r="67" spans="1:7" x14ac:dyDescent="0.25">
      <c r="A67" s="2">
        <f t="shared" si="11"/>
        <v>46088</v>
      </c>
      <c r="B67">
        <f t="shared" si="7"/>
        <v>2026</v>
      </c>
      <c r="C67">
        <f t="shared" si="8"/>
        <v>3</v>
      </c>
      <c r="D67" t="str">
        <f t="shared" si="14"/>
        <v>Março</v>
      </c>
      <c r="E67" t="str">
        <f t="shared" si="9"/>
        <v>mar</v>
      </c>
      <c r="F67" s="2" t="str">
        <f t="shared" si="15"/>
        <v>Março/2026</v>
      </c>
      <c r="G67" t="str">
        <f t="shared" si="10"/>
        <v>T1</v>
      </c>
    </row>
    <row r="68" spans="1:7" x14ac:dyDescent="0.25">
      <c r="A68" s="2">
        <f t="shared" si="11"/>
        <v>46089</v>
      </c>
      <c r="B68">
        <f t="shared" si="7"/>
        <v>2026</v>
      </c>
      <c r="C68">
        <f t="shared" si="8"/>
        <v>3</v>
      </c>
      <c r="D68" t="str">
        <f t="shared" si="14"/>
        <v>Março</v>
      </c>
      <c r="E68" t="str">
        <f t="shared" si="9"/>
        <v>mar</v>
      </c>
      <c r="F68" s="2" t="str">
        <f t="shared" si="15"/>
        <v>Março/2026</v>
      </c>
      <c r="G68" t="str">
        <f t="shared" si="10"/>
        <v>T1</v>
      </c>
    </row>
    <row r="69" spans="1:7" x14ac:dyDescent="0.25">
      <c r="A69" s="2">
        <f t="shared" si="11"/>
        <v>46090</v>
      </c>
      <c r="B69">
        <f t="shared" si="7"/>
        <v>2026</v>
      </c>
      <c r="C69">
        <f t="shared" si="8"/>
        <v>3</v>
      </c>
      <c r="D69" t="str">
        <f t="shared" si="14"/>
        <v>Março</v>
      </c>
      <c r="E69" t="str">
        <f t="shared" si="9"/>
        <v>mar</v>
      </c>
      <c r="F69" s="2" t="str">
        <f t="shared" si="15"/>
        <v>Março/2026</v>
      </c>
      <c r="G69" t="str">
        <f t="shared" si="10"/>
        <v>T1</v>
      </c>
    </row>
    <row r="70" spans="1:7" x14ac:dyDescent="0.25">
      <c r="A70" s="2">
        <f t="shared" si="11"/>
        <v>46091</v>
      </c>
      <c r="B70">
        <f t="shared" si="7"/>
        <v>2026</v>
      </c>
      <c r="C70">
        <f t="shared" si="8"/>
        <v>3</v>
      </c>
      <c r="D70" t="str">
        <f t="shared" si="14"/>
        <v>Março</v>
      </c>
      <c r="E70" t="str">
        <f t="shared" si="9"/>
        <v>mar</v>
      </c>
      <c r="F70" s="2" t="str">
        <f t="shared" si="15"/>
        <v>Março/2026</v>
      </c>
      <c r="G70" t="str">
        <f t="shared" si="10"/>
        <v>T1</v>
      </c>
    </row>
    <row r="71" spans="1:7" x14ac:dyDescent="0.25">
      <c r="A71" s="2">
        <f t="shared" si="11"/>
        <v>46092</v>
      </c>
      <c r="B71">
        <f t="shared" si="7"/>
        <v>2026</v>
      </c>
      <c r="C71">
        <f t="shared" si="8"/>
        <v>3</v>
      </c>
      <c r="D71" t="str">
        <f t="shared" si="14"/>
        <v>Março</v>
      </c>
      <c r="E71" t="str">
        <f t="shared" si="9"/>
        <v>mar</v>
      </c>
      <c r="F71" s="2" t="str">
        <f t="shared" si="15"/>
        <v>Março/2026</v>
      </c>
      <c r="G71" t="str">
        <f t="shared" si="10"/>
        <v>T1</v>
      </c>
    </row>
    <row r="72" spans="1:7" x14ac:dyDescent="0.25">
      <c r="A72" s="2">
        <f t="shared" si="11"/>
        <v>46093</v>
      </c>
      <c r="B72">
        <f t="shared" si="7"/>
        <v>2026</v>
      </c>
      <c r="C72">
        <f t="shared" si="8"/>
        <v>3</v>
      </c>
      <c r="D72" t="str">
        <f t="shared" si="14"/>
        <v>Março</v>
      </c>
      <c r="E72" t="str">
        <f t="shared" si="9"/>
        <v>mar</v>
      </c>
      <c r="F72" s="2" t="str">
        <f t="shared" si="15"/>
        <v>Março/2026</v>
      </c>
      <c r="G72" t="str">
        <f t="shared" si="10"/>
        <v>T1</v>
      </c>
    </row>
    <row r="73" spans="1:7" x14ac:dyDescent="0.25">
      <c r="A73" s="2">
        <f t="shared" si="11"/>
        <v>46094</v>
      </c>
      <c r="B73">
        <f t="shared" si="7"/>
        <v>2026</v>
      </c>
      <c r="C73">
        <f t="shared" si="8"/>
        <v>3</v>
      </c>
      <c r="D73" t="str">
        <f t="shared" si="14"/>
        <v>Março</v>
      </c>
      <c r="E73" t="str">
        <f t="shared" si="9"/>
        <v>mar</v>
      </c>
      <c r="F73" s="2" t="str">
        <f t="shared" si="15"/>
        <v>Março/2026</v>
      </c>
      <c r="G73" t="str">
        <f t="shared" si="10"/>
        <v>T1</v>
      </c>
    </row>
    <row r="74" spans="1:7" x14ac:dyDescent="0.25">
      <c r="A74" s="2">
        <f t="shared" si="11"/>
        <v>46095</v>
      </c>
      <c r="B74">
        <f t="shared" si="7"/>
        <v>2026</v>
      </c>
      <c r="C74">
        <f t="shared" si="8"/>
        <v>3</v>
      </c>
      <c r="D74" t="str">
        <f t="shared" si="14"/>
        <v>Março</v>
      </c>
      <c r="E74" t="str">
        <f t="shared" si="9"/>
        <v>mar</v>
      </c>
      <c r="F74" s="2" t="str">
        <f t="shared" si="15"/>
        <v>Março/2026</v>
      </c>
      <c r="G74" t="str">
        <f t="shared" si="10"/>
        <v>T1</v>
      </c>
    </row>
    <row r="75" spans="1:7" x14ac:dyDescent="0.25">
      <c r="A75" s="2">
        <f t="shared" si="11"/>
        <v>46096</v>
      </c>
      <c r="B75">
        <f t="shared" si="7"/>
        <v>2026</v>
      </c>
      <c r="C75">
        <f t="shared" si="8"/>
        <v>3</v>
      </c>
      <c r="D75" t="str">
        <f t="shared" si="14"/>
        <v>Março</v>
      </c>
      <c r="E75" t="str">
        <f t="shared" si="9"/>
        <v>mar</v>
      </c>
      <c r="F75" s="2" t="str">
        <f t="shared" si="15"/>
        <v>Março/2026</v>
      </c>
      <c r="G75" t="str">
        <f t="shared" si="10"/>
        <v>T1</v>
      </c>
    </row>
    <row r="76" spans="1:7" x14ac:dyDescent="0.25">
      <c r="A76" s="2">
        <f t="shared" si="11"/>
        <v>46097</v>
      </c>
      <c r="B76">
        <f t="shared" si="7"/>
        <v>2026</v>
      </c>
      <c r="C76">
        <f t="shared" si="8"/>
        <v>3</v>
      </c>
      <c r="D76" t="str">
        <f t="shared" si="14"/>
        <v>Março</v>
      </c>
      <c r="E76" t="str">
        <f t="shared" si="9"/>
        <v>mar</v>
      </c>
      <c r="F76" s="2" t="str">
        <f t="shared" si="15"/>
        <v>Março/2026</v>
      </c>
      <c r="G76" t="str">
        <f t="shared" si="10"/>
        <v>T1</v>
      </c>
    </row>
    <row r="77" spans="1:7" x14ac:dyDescent="0.25">
      <c r="A77" s="2">
        <f t="shared" si="11"/>
        <v>46098</v>
      </c>
      <c r="B77">
        <f t="shared" si="7"/>
        <v>2026</v>
      </c>
      <c r="C77">
        <f t="shared" si="8"/>
        <v>3</v>
      </c>
      <c r="D77" t="str">
        <f t="shared" si="14"/>
        <v>Março</v>
      </c>
      <c r="E77" t="str">
        <f t="shared" si="9"/>
        <v>mar</v>
      </c>
      <c r="F77" s="2" t="str">
        <f t="shared" si="15"/>
        <v>Março/2026</v>
      </c>
      <c r="G77" t="str">
        <f t="shared" si="10"/>
        <v>T1</v>
      </c>
    </row>
    <row r="78" spans="1:7" x14ac:dyDescent="0.25">
      <c r="A78" s="2">
        <f t="shared" si="11"/>
        <v>46099</v>
      </c>
      <c r="B78">
        <f t="shared" si="7"/>
        <v>2026</v>
      </c>
      <c r="C78">
        <f t="shared" si="8"/>
        <v>3</v>
      </c>
      <c r="D78" t="str">
        <f t="shared" si="14"/>
        <v>Março</v>
      </c>
      <c r="E78" t="str">
        <f t="shared" si="9"/>
        <v>mar</v>
      </c>
      <c r="F78" s="2" t="str">
        <f t="shared" si="15"/>
        <v>Março/2026</v>
      </c>
      <c r="G78" t="str">
        <f t="shared" si="10"/>
        <v>T1</v>
      </c>
    </row>
    <row r="79" spans="1:7" x14ac:dyDescent="0.25">
      <c r="A79" s="2">
        <f t="shared" si="11"/>
        <v>46100</v>
      </c>
      <c r="B79">
        <f t="shared" si="7"/>
        <v>2026</v>
      </c>
      <c r="C79">
        <f t="shared" si="8"/>
        <v>3</v>
      </c>
      <c r="D79" t="str">
        <f t="shared" si="14"/>
        <v>Março</v>
      </c>
      <c r="E79" t="str">
        <f t="shared" si="9"/>
        <v>mar</v>
      </c>
      <c r="F79" s="2" t="str">
        <f t="shared" si="15"/>
        <v>Março/2026</v>
      </c>
      <c r="G79" t="str">
        <f t="shared" si="10"/>
        <v>T1</v>
      </c>
    </row>
    <row r="80" spans="1:7" x14ac:dyDescent="0.25">
      <c r="A80" s="2">
        <f t="shared" si="11"/>
        <v>46101</v>
      </c>
      <c r="B80">
        <f t="shared" si="7"/>
        <v>2026</v>
      </c>
      <c r="C80">
        <f t="shared" si="8"/>
        <v>3</v>
      </c>
      <c r="D80" t="str">
        <f t="shared" si="14"/>
        <v>Março</v>
      </c>
      <c r="E80" t="str">
        <f t="shared" si="9"/>
        <v>mar</v>
      </c>
      <c r="F80" s="2" t="str">
        <f t="shared" si="15"/>
        <v>Março/2026</v>
      </c>
      <c r="G80" t="str">
        <f t="shared" si="10"/>
        <v>T1</v>
      </c>
    </row>
    <row r="81" spans="1:7" x14ac:dyDescent="0.25">
      <c r="A81" s="2">
        <f t="shared" si="11"/>
        <v>46102</v>
      </c>
      <c r="B81">
        <f t="shared" si="7"/>
        <v>2026</v>
      </c>
      <c r="C81">
        <f t="shared" si="8"/>
        <v>3</v>
      </c>
      <c r="D81" t="str">
        <f t="shared" si="14"/>
        <v>Março</v>
      </c>
      <c r="E81" t="str">
        <f t="shared" si="9"/>
        <v>mar</v>
      </c>
      <c r="F81" s="2" t="str">
        <f t="shared" si="15"/>
        <v>Março/2026</v>
      </c>
      <c r="G81" t="str">
        <f t="shared" si="10"/>
        <v>T1</v>
      </c>
    </row>
    <row r="82" spans="1:7" x14ac:dyDescent="0.25">
      <c r="A82" s="2">
        <f t="shared" si="11"/>
        <v>46103</v>
      </c>
      <c r="B82">
        <f t="shared" si="7"/>
        <v>2026</v>
      </c>
      <c r="C82">
        <f t="shared" si="8"/>
        <v>3</v>
      </c>
      <c r="D82" t="str">
        <f t="shared" si="14"/>
        <v>Março</v>
      </c>
      <c r="E82" t="str">
        <f t="shared" si="9"/>
        <v>mar</v>
      </c>
      <c r="F82" s="2" t="str">
        <f t="shared" si="15"/>
        <v>Março/2026</v>
      </c>
      <c r="G82" t="str">
        <f t="shared" si="10"/>
        <v>T1</v>
      </c>
    </row>
    <row r="83" spans="1:7" x14ac:dyDescent="0.25">
      <c r="A83" s="2">
        <f t="shared" si="11"/>
        <v>46104</v>
      </c>
      <c r="B83">
        <f t="shared" si="7"/>
        <v>2026</v>
      </c>
      <c r="C83">
        <f t="shared" si="8"/>
        <v>3</v>
      </c>
      <c r="D83" t="str">
        <f t="shared" si="14"/>
        <v>Março</v>
      </c>
      <c r="E83" t="str">
        <f t="shared" si="9"/>
        <v>mar</v>
      </c>
      <c r="F83" s="2" t="str">
        <f t="shared" si="15"/>
        <v>Março/2026</v>
      </c>
      <c r="G83" t="str">
        <f t="shared" si="10"/>
        <v>T1</v>
      </c>
    </row>
    <row r="84" spans="1:7" x14ac:dyDescent="0.25">
      <c r="A84" s="2">
        <f t="shared" si="11"/>
        <v>46105</v>
      </c>
      <c r="B84">
        <f t="shared" si="7"/>
        <v>2026</v>
      </c>
      <c r="C84">
        <f t="shared" si="8"/>
        <v>3</v>
      </c>
      <c r="D84" t="str">
        <f t="shared" si="14"/>
        <v>Março</v>
      </c>
      <c r="E84" t="str">
        <f t="shared" si="9"/>
        <v>mar</v>
      </c>
      <c r="F84" s="2" t="str">
        <f t="shared" si="15"/>
        <v>Março/2026</v>
      </c>
      <c r="G84" t="str">
        <f t="shared" si="10"/>
        <v>T1</v>
      </c>
    </row>
    <row r="85" spans="1:7" x14ac:dyDescent="0.25">
      <c r="A85" s="2">
        <f t="shared" si="11"/>
        <v>46106</v>
      </c>
      <c r="B85">
        <f t="shared" si="7"/>
        <v>2026</v>
      </c>
      <c r="C85">
        <f t="shared" si="8"/>
        <v>3</v>
      </c>
      <c r="D85" t="str">
        <f t="shared" si="14"/>
        <v>Março</v>
      </c>
      <c r="E85" t="str">
        <f t="shared" si="9"/>
        <v>mar</v>
      </c>
      <c r="F85" s="2" t="str">
        <f t="shared" si="15"/>
        <v>Março/2026</v>
      </c>
      <c r="G85" t="str">
        <f t="shared" si="10"/>
        <v>T1</v>
      </c>
    </row>
    <row r="86" spans="1:7" x14ac:dyDescent="0.25">
      <c r="A86" s="2">
        <f t="shared" si="11"/>
        <v>46107</v>
      </c>
      <c r="B86">
        <f t="shared" ref="B86:B121" si="16">YEAR(A86)</f>
        <v>2026</v>
      </c>
      <c r="C86">
        <f t="shared" ref="C86:C121" si="17">MONTH(A86)</f>
        <v>3</v>
      </c>
      <c r="D86" t="str">
        <f t="shared" si="14"/>
        <v>Março</v>
      </c>
      <c r="E86" t="str">
        <f t="shared" ref="E86:E121" si="18">TEXT(A86,"mmm")</f>
        <v>mar</v>
      </c>
      <c r="F86" s="2" t="str">
        <f t="shared" si="15"/>
        <v>Março/2026</v>
      </c>
      <c r="G86" t="str">
        <f t="shared" ref="G86:G121" si="19">"T"&amp;INT((MONTH(A86)-1)/3)+1</f>
        <v>T1</v>
      </c>
    </row>
    <row r="87" spans="1:7" x14ac:dyDescent="0.25">
      <c r="A87" s="2">
        <f t="shared" ref="A87:A121" si="20">A86+1</f>
        <v>46108</v>
      </c>
      <c r="B87">
        <f t="shared" si="16"/>
        <v>2026</v>
      </c>
      <c r="C87">
        <f t="shared" si="17"/>
        <v>3</v>
      </c>
      <c r="D87" t="str">
        <f t="shared" si="14"/>
        <v>Março</v>
      </c>
      <c r="E87" t="str">
        <f t="shared" si="18"/>
        <v>mar</v>
      </c>
      <c r="F87" s="2" t="str">
        <f t="shared" si="15"/>
        <v>Março/2026</v>
      </c>
      <c r="G87" t="str">
        <f t="shared" si="19"/>
        <v>T1</v>
      </c>
    </row>
    <row r="88" spans="1:7" x14ac:dyDescent="0.25">
      <c r="A88" s="2">
        <f t="shared" si="20"/>
        <v>46109</v>
      </c>
      <c r="B88">
        <f t="shared" si="16"/>
        <v>2026</v>
      </c>
      <c r="C88">
        <f t="shared" si="17"/>
        <v>3</v>
      </c>
      <c r="D88" t="str">
        <f t="shared" si="14"/>
        <v>Março</v>
      </c>
      <c r="E88" t="str">
        <f t="shared" si="18"/>
        <v>mar</v>
      </c>
      <c r="F88" s="2" t="str">
        <f t="shared" si="15"/>
        <v>Março/2026</v>
      </c>
      <c r="G88" t="str">
        <f t="shared" si="19"/>
        <v>T1</v>
      </c>
    </row>
    <row r="89" spans="1:7" x14ac:dyDescent="0.25">
      <c r="A89" s="2">
        <f t="shared" si="20"/>
        <v>46110</v>
      </c>
      <c r="B89">
        <f t="shared" si="16"/>
        <v>2026</v>
      </c>
      <c r="C89">
        <f t="shared" si="17"/>
        <v>3</v>
      </c>
      <c r="D89" t="str">
        <f t="shared" si="14"/>
        <v>Março</v>
      </c>
      <c r="E89" t="str">
        <f t="shared" si="18"/>
        <v>mar</v>
      </c>
      <c r="F89" s="2" t="str">
        <f t="shared" si="15"/>
        <v>Março/2026</v>
      </c>
      <c r="G89" t="str">
        <f t="shared" si="19"/>
        <v>T1</v>
      </c>
    </row>
    <row r="90" spans="1:7" x14ac:dyDescent="0.25">
      <c r="A90" s="2">
        <f t="shared" si="20"/>
        <v>46111</v>
      </c>
      <c r="B90">
        <f t="shared" si="16"/>
        <v>2026</v>
      </c>
      <c r="C90">
        <f t="shared" si="17"/>
        <v>3</v>
      </c>
      <c r="D90" t="str">
        <f t="shared" si="14"/>
        <v>Março</v>
      </c>
      <c r="E90" t="str">
        <f t="shared" si="18"/>
        <v>mar</v>
      </c>
      <c r="F90" s="2" t="str">
        <f t="shared" si="15"/>
        <v>Março/2026</v>
      </c>
      <c r="G90" t="str">
        <f t="shared" si="19"/>
        <v>T1</v>
      </c>
    </row>
    <row r="91" spans="1:7" x14ac:dyDescent="0.25">
      <c r="A91" s="2">
        <f t="shared" si="20"/>
        <v>46112</v>
      </c>
      <c r="B91">
        <f t="shared" si="16"/>
        <v>2026</v>
      </c>
      <c r="C91">
        <f t="shared" si="17"/>
        <v>3</v>
      </c>
      <c r="D91" t="str">
        <f t="shared" si="14"/>
        <v>Março</v>
      </c>
      <c r="E91" t="str">
        <f t="shared" si="18"/>
        <v>mar</v>
      </c>
      <c r="F91" s="2" t="str">
        <f t="shared" si="15"/>
        <v>Março/2026</v>
      </c>
      <c r="G91" t="str">
        <f t="shared" si="19"/>
        <v>T1</v>
      </c>
    </row>
    <row r="92" spans="1:7" x14ac:dyDescent="0.25">
      <c r="A92" s="2">
        <f t="shared" si="20"/>
        <v>46113</v>
      </c>
      <c r="B92">
        <f t="shared" si="16"/>
        <v>2026</v>
      </c>
      <c r="C92">
        <f t="shared" si="17"/>
        <v>4</v>
      </c>
      <c r="D92" t="str">
        <f t="shared" si="14"/>
        <v>Abril</v>
      </c>
      <c r="E92" t="str">
        <f t="shared" si="18"/>
        <v>abr</v>
      </c>
      <c r="F92" s="2" t="str">
        <f t="shared" si="15"/>
        <v>Abril/2026</v>
      </c>
      <c r="G92" t="str">
        <f t="shared" si="19"/>
        <v>T2</v>
      </c>
    </row>
    <row r="93" spans="1:7" x14ac:dyDescent="0.25">
      <c r="A93" s="2">
        <f t="shared" si="20"/>
        <v>46114</v>
      </c>
      <c r="B93">
        <f t="shared" si="16"/>
        <v>2026</v>
      </c>
      <c r="C93">
        <f t="shared" si="17"/>
        <v>4</v>
      </c>
      <c r="D93" t="str">
        <f t="shared" si="14"/>
        <v>Abril</v>
      </c>
      <c r="E93" t="str">
        <f t="shared" si="18"/>
        <v>abr</v>
      </c>
      <c r="F93" s="2" t="str">
        <f t="shared" si="15"/>
        <v>Abril/2026</v>
      </c>
      <c r="G93" t="str">
        <f t="shared" si="19"/>
        <v>T2</v>
      </c>
    </row>
    <row r="94" spans="1:7" x14ac:dyDescent="0.25">
      <c r="A94" s="2">
        <f t="shared" si="20"/>
        <v>46115</v>
      </c>
      <c r="B94">
        <f t="shared" si="16"/>
        <v>2026</v>
      </c>
      <c r="C94">
        <f t="shared" si="17"/>
        <v>4</v>
      </c>
      <c r="D94" t="str">
        <f t="shared" si="14"/>
        <v>Abril</v>
      </c>
      <c r="E94" t="str">
        <f t="shared" si="18"/>
        <v>abr</v>
      </c>
      <c r="F94" s="2" t="str">
        <f t="shared" si="15"/>
        <v>Abril/2026</v>
      </c>
      <c r="G94" t="str">
        <f t="shared" si="19"/>
        <v>T2</v>
      </c>
    </row>
    <row r="95" spans="1:7" x14ac:dyDescent="0.25">
      <c r="A95" s="2">
        <f t="shared" si="20"/>
        <v>46116</v>
      </c>
      <c r="B95">
        <f t="shared" si="16"/>
        <v>2026</v>
      </c>
      <c r="C95">
        <f t="shared" si="17"/>
        <v>4</v>
      </c>
      <c r="D95" t="str">
        <f t="shared" si="14"/>
        <v>Abril</v>
      </c>
      <c r="E95" t="str">
        <f t="shared" si="18"/>
        <v>abr</v>
      </c>
      <c r="F95" s="2" t="str">
        <f t="shared" si="15"/>
        <v>Abril/2026</v>
      </c>
      <c r="G95" t="str">
        <f t="shared" si="19"/>
        <v>T2</v>
      </c>
    </row>
    <row r="96" spans="1:7" x14ac:dyDescent="0.25">
      <c r="A96" s="2">
        <f t="shared" si="20"/>
        <v>46117</v>
      </c>
      <c r="B96">
        <f t="shared" si="16"/>
        <v>2026</v>
      </c>
      <c r="C96">
        <f t="shared" si="17"/>
        <v>4</v>
      </c>
      <c r="D96" t="str">
        <f t="shared" si="14"/>
        <v>Abril</v>
      </c>
      <c r="E96" t="str">
        <f t="shared" si="18"/>
        <v>abr</v>
      </c>
      <c r="F96" s="2" t="str">
        <f t="shared" si="15"/>
        <v>Abril/2026</v>
      </c>
      <c r="G96" t="str">
        <f t="shared" si="19"/>
        <v>T2</v>
      </c>
    </row>
    <row r="97" spans="1:7" x14ac:dyDescent="0.25">
      <c r="A97" s="2">
        <f t="shared" si="20"/>
        <v>46118</v>
      </c>
      <c r="B97">
        <f t="shared" si="16"/>
        <v>2026</v>
      </c>
      <c r="C97">
        <f t="shared" si="17"/>
        <v>4</v>
      </c>
      <c r="D97" t="str">
        <f t="shared" si="14"/>
        <v>Abril</v>
      </c>
      <c r="E97" t="str">
        <f t="shared" si="18"/>
        <v>abr</v>
      </c>
      <c r="F97" s="2" t="str">
        <f t="shared" si="15"/>
        <v>Abril/2026</v>
      </c>
      <c r="G97" t="str">
        <f t="shared" si="19"/>
        <v>T2</v>
      </c>
    </row>
    <row r="98" spans="1:7" x14ac:dyDescent="0.25">
      <c r="A98" s="2">
        <f t="shared" si="20"/>
        <v>46119</v>
      </c>
      <c r="B98">
        <f t="shared" si="16"/>
        <v>2026</v>
      </c>
      <c r="C98">
        <f t="shared" si="17"/>
        <v>4</v>
      </c>
      <c r="D98" t="str">
        <f t="shared" ref="D98:D121" si="21">PROPER(TEXT(A98,"mmmm"))</f>
        <v>Abril</v>
      </c>
      <c r="E98" t="str">
        <f t="shared" si="18"/>
        <v>abr</v>
      </c>
      <c r="F98" s="2" t="str">
        <f t="shared" ref="F98:F121" si="22">PROPER(TEXT(A98,"mmmm")&amp;"/"&amp;YEAR(A98))</f>
        <v>Abril/2026</v>
      </c>
      <c r="G98" t="str">
        <f t="shared" si="19"/>
        <v>T2</v>
      </c>
    </row>
    <row r="99" spans="1:7" x14ac:dyDescent="0.25">
      <c r="A99" s="2">
        <f t="shared" si="20"/>
        <v>46120</v>
      </c>
      <c r="B99">
        <f t="shared" si="16"/>
        <v>2026</v>
      </c>
      <c r="C99">
        <f t="shared" si="17"/>
        <v>4</v>
      </c>
      <c r="D99" t="str">
        <f t="shared" si="21"/>
        <v>Abril</v>
      </c>
      <c r="E99" t="str">
        <f t="shared" si="18"/>
        <v>abr</v>
      </c>
      <c r="F99" s="2" t="str">
        <f t="shared" si="22"/>
        <v>Abril/2026</v>
      </c>
      <c r="G99" t="str">
        <f t="shared" si="19"/>
        <v>T2</v>
      </c>
    </row>
    <row r="100" spans="1:7" x14ac:dyDescent="0.25">
      <c r="A100" s="2">
        <f t="shared" si="20"/>
        <v>46121</v>
      </c>
      <c r="B100">
        <f t="shared" si="16"/>
        <v>2026</v>
      </c>
      <c r="C100">
        <f t="shared" si="17"/>
        <v>4</v>
      </c>
      <c r="D100" t="str">
        <f t="shared" si="21"/>
        <v>Abril</v>
      </c>
      <c r="E100" t="str">
        <f t="shared" si="18"/>
        <v>abr</v>
      </c>
      <c r="F100" s="2" t="str">
        <f t="shared" si="22"/>
        <v>Abril/2026</v>
      </c>
      <c r="G100" t="str">
        <f t="shared" si="19"/>
        <v>T2</v>
      </c>
    </row>
    <row r="101" spans="1:7" x14ac:dyDescent="0.25">
      <c r="A101" s="2">
        <f t="shared" si="20"/>
        <v>46122</v>
      </c>
      <c r="B101">
        <f t="shared" si="16"/>
        <v>2026</v>
      </c>
      <c r="C101">
        <f t="shared" si="17"/>
        <v>4</v>
      </c>
      <c r="D101" t="str">
        <f t="shared" si="21"/>
        <v>Abril</v>
      </c>
      <c r="E101" t="str">
        <f t="shared" si="18"/>
        <v>abr</v>
      </c>
      <c r="F101" s="2" t="str">
        <f t="shared" si="22"/>
        <v>Abril/2026</v>
      </c>
      <c r="G101" t="str">
        <f t="shared" si="19"/>
        <v>T2</v>
      </c>
    </row>
    <row r="102" spans="1:7" x14ac:dyDescent="0.25">
      <c r="A102" s="2">
        <f t="shared" si="20"/>
        <v>46123</v>
      </c>
      <c r="B102">
        <f t="shared" si="16"/>
        <v>2026</v>
      </c>
      <c r="C102">
        <f t="shared" si="17"/>
        <v>4</v>
      </c>
      <c r="D102" t="str">
        <f t="shared" si="21"/>
        <v>Abril</v>
      </c>
      <c r="E102" t="str">
        <f t="shared" si="18"/>
        <v>abr</v>
      </c>
      <c r="F102" s="2" t="str">
        <f t="shared" si="22"/>
        <v>Abril/2026</v>
      </c>
      <c r="G102" t="str">
        <f t="shared" si="19"/>
        <v>T2</v>
      </c>
    </row>
    <row r="103" spans="1:7" x14ac:dyDescent="0.25">
      <c r="A103" s="2">
        <f t="shared" si="20"/>
        <v>46124</v>
      </c>
      <c r="B103">
        <f t="shared" si="16"/>
        <v>2026</v>
      </c>
      <c r="C103">
        <f t="shared" si="17"/>
        <v>4</v>
      </c>
      <c r="D103" t="str">
        <f t="shared" si="21"/>
        <v>Abril</v>
      </c>
      <c r="E103" t="str">
        <f t="shared" si="18"/>
        <v>abr</v>
      </c>
      <c r="F103" s="2" t="str">
        <f t="shared" si="22"/>
        <v>Abril/2026</v>
      </c>
      <c r="G103" t="str">
        <f t="shared" si="19"/>
        <v>T2</v>
      </c>
    </row>
    <row r="104" spans="1:7" x14ac:dyDescent="0.25">
      <c r="A104" s="2">
        <f t="shared" si="20"/>
        <v>46125</v>
      </c>
      <c r="B104">
        <f t="shared" si="16"/>
        <v>2026</v>
      </c>
      <c r="C104">
        <f t="shared" si="17"/>
        <v>4</v>
      </c>
      <c r="D104" t="str">
        <f t="shared" si="21"/>
        <v>Abril</v>
      </c>
      <c r="E104" t="str">
        <f t="shared" si="18"/>
        <v>abr</v>
      </c>
      <c r="F104" s="2" t="str">
        <f t="shared" si="22"/>
        <v>Abril/2026</v>
      </c>
      <c r="G104" t="str">
        <f t="shared" si="19"/>
        <v>T2</v>
      </c>
    </row>
    <row r="105" spans="1:7" x14ac:dyDescent="0.25">
      <c r="A105" s="2">
        <f t="shared" si="20"/>
        <v>46126</v>
      </c>
      <c r="B105">
        <f t="shared" si="16"/>
        <v>2026</v>
      </c>
      <c r="C105">
        <f t="shared" si="17"/>
        <v>4</v>
      </c>
      <c r="D105" t="str">
        <f t="shared" si="21"/>
        <v>Abril</v>
      </c>
      <c r="E105" t="str">
        <f t="shared" si="18"/>
        <v>abr</v>
      </c>
      <c r="F105" s="2" t="str">
        <f t="shared" si="22"/>
        <v>Abril/2026</v>
      </c>
      <c r="G105" t="str">
        <f t="shared" si="19"/>
        <v>T2</v>
      </c>
    </row>
    <row r="106" spans="1:7" x14ac:dyDescent="0.25">
      <c r="A106" s="2">
        <f t="shared" si="20"/>
        <v>46127</v>
      </c>
      <c r="B106">
        <f t="shared" si="16"/>
        <v>2026</v>
      </c>
      <c r="C106">
        <f t="shared" si="17"/>
        <v>4</v>
      </c>
      <c r="D106" t="str">
        <f t="shared" si="21"/>
        <v>Abril</v>
      </c>
      <c r="E106" t="str">
        <f t="shared" si="18"/>
        <v>abr</v>
      </c>
      <c r="F106" s="2" t="str">
        <f t="shared" si="22"/>
        <v>Abril/2026</v>
      </c>
      <c r="G106" t="str">
        <f t="shared" si="19"/>
        <v>T2</v>
      </c>
    </row>
    <row r="107" spans="1:7" x14ac:dyDescent="0.25">
      <c r="A107" s="2">
        <f t="shared" si="20"/>
        <v>46128</v>
      </c>
      <c r="B107">
        <f t="shared" si="16"/>
        <v>2026</v>
      </c>
      <c r="C107">
        <f t="shared" si="17"/>
        <v>4</v>
      </c>
      <c r="D107" t="str">
        <f t="shared" si="21"/>
        <v>Abril</v>
      </c>
      <c r="E107" t="str">
        <f t="shared" si="18"/>
        <v>abr</v>
      </c>
      <c r="F107" s="2" t="str">
        <f t="shared" si="22"/>
        <v>Abril/2026</v>
      </c>
      <c r="G107" t="str">
        <f t="shared" si="19"/>
        <v>T2</v>
      </c>
    </row>
    <row r="108" spans="1:7" x14ac:dyDescent="0.25">
      <c r="A108" s="2">
        <f t="shared" si="20"/>
        <v>46129</v>
      </c>
      <c r="B108">
        <f t="shared" si="16"/>
        <v>2026</v>
      </c>
      <c r="C108">
        <f t="shared" si="17"/>
        <v>4</v>
      </c>
      <c r="D108" t="str">
        <f t="shared" si="21"/>
        <v>Abril</v>
      </c>
      <c r="E108" t="str">
        <f t="shared" si="18"/>
        <v>abr</v>
      </c>
      <c r="F108" s="2" t="str">
        <f t="shared" si="22"/>
        <v>Abril/2026</v>
      </c>
      <c r="G108" t="str">
        <f t="shared" si="19"/>
        <v>T2</v>
      </c>
    </row>
    <row r="109" spans="1:7" x14ac:dyDescent="0.25">
      <c r="A109" s="2">
        <f t="shared" si="20"/>
        <v>46130</v>
      </c>
      <c r="B109">
        <f t="shared" si="16"/>
        <v>2026</v>
      </c>
      <c r="C109">
        <f t="shared" si="17"/>
        <v>4</v>
      </c>
      <c r="D109" t="str">
        <f t="shared" si="21"/>
        <v>Abril</v>
      </c>
      <c r="E109" t="str">
        <f t="shared" si="18"/>
        <v>abr</v>
      </c>
      <c r="F109" s="2" t="str">
        <f t="shared" si="22"/>
        <v>Abril/2026</v>
      </c>
      <c r="G109" t="str">
        <f t="shared" si="19"/>
        <v>T2</v>
      </c>
    </row>
    <row r="110" spans="1:7" x14ac:dyDescent="0.25">
      <c r="A110" s="2">
        <f t="shared" si="20"/>
        <v>46131</v>
      </c>
      <c r="B110">
        <f t="shared" si="16"/>
        <v>2026</v>
      </c>
      <c r="C110">
        <f t="shared" si="17"/>
        <v>4</v>
      </c>
      <c r="D110" t="str">
        <f t="shared" si="21"/>
        <v>Abril</v>
      </c>
      <c r="E110" t="str">
        <f t="shared" si="18"/>
        <v>abr</v>
      </c>
      <c r="F110" s="2" t="str">
        <f t="shared" si="22"/>
        <v>Abril/2026</v>
      </c>
      <c r="G110" t="str">
        <f t="shared" si="19"/>
        <v>T2</v>
      </c>
    </row>
    <row r="111" spans="1:7" x14ac:dyDescent="0.25">
      <c r="A111" s="2">
        <f t="shared" si="20"/>
        <v>46132</v>
      </c>
      <c r="B111">
        <f t="shared" si="16"/>
        <v>2026</v>
      </c>
      <c r="C111">
        <f t="shared" si="17"/>
        <v>4</v>
      </c>
      <c r="D111" t="str">
        <f t="shared" si="21"/>
        <v>Abril</v>
      </c>
      <c r="E111" t="str">
        <f t="shared" si="18"/>
        <v>abr</v>
      </c>
      <c r="F111" s="2" t="str">
        <f t="shared" si="22"/>
        <v>Abril/2026</v>
      </c>
      <c r="G111" t="str">
        <f t="shared" si="19"/>
        <v>T2</v>
      </c>
    </row>
    <row r="112" spans="1:7" x14ac:dyDescent="0.25">
      <c r="A112" s="2">
        <f t="shared" si="20"/>
        <v>46133</v>
      </c>
      <c r="B112">
        <f t="shared" si="16"/>
        <v>2026</v>
      </c>
      <c r="C112">
        <f t="shared" si="17"/>
        <v>4</v>
      </c>
      <c r="D112" t="str">
        <f t="shared" si="21"/>
        <v>Abril</v>
      </c>
      <c r="E112" t="str">
        <f t="shared" si="18"/>
        <v>abr</v>
      </c>
      <c r="F112" s="2" t="str">
        <f t="shared" si="22"/>
        <v>Abril/2026</v>
      </c>
      <c r="G112" t="str">
        <f t="shared" si="19"/>
        <v>T2</v>
      </c>
    </row>
    <row r="113" spans="1:7" x14ac:dyDescent="0.25">
      <c r="A113" s="2">
        <f t="shared" si="20"/>
        <v>46134</v>
      </c>
      <c r="B113">
        <f t="shared" si="16"/>
        <v>2026</v>
      </c>
      <c r="C113">
        <f t="shared" si="17"/>
        <v>4</v>
      </c>
      <c r="D113" t="str">
        <f t="shared" si="21"/>
        <v>Abril</v>
      </c>
      <c r="E113" t="str">
        <f t="shared" si="18"/>
        <v>abr</v>
      </c>
      <c r="F113" s="2" t="str">
        <f t="shared" si="22"/>
        <v>Abril/2026</v>
      </c>
      <c r="G113" t="str">
        <f t="shared" si="19"/>
        <v>T2</v>
      </c>
    </row>
    <row r="114" spans="1:7" x14ac:dyDescent="0.25">
      <c r="A114" s="2">
        <f t="shared" si="20"/>
        <v>46135</v>
      </c>
      <c r="B114">
        <f t="shared" si="16"/>
        <v>2026</v>
      </c>
      <c r="C114">
        <f t="shared" si="17"/>
        <v>4</v>
      </c>
      <c r="D114" t="str">
        <f t="shared" si="21"/>
        <v>Abril</v>
      </c>
      <c r="E114" t="str">
        <f t="shared" si="18"/>
        <v>abr</v>
      </c>
      <c r="F114" s="2" t="str">
        <f t="shared" si="22"/>
        <v>Abril/2026</v>
      </c>
      <c r="G114" t="str">
        <f t="shared" si="19"/>
        <v>T2</v>
      </c>
    </row>
    <row r="115" spans="1:7" x14ac:dyDescent="0.25">
      <c r="A115" s="2">
        <f t="shared" si="20"/>
        <v>46136</v>
      </c>
      <c r="B115">
        <f t="shared" si="16"/>
        <v>2026</v>
      </c>
      <c r="C115">
        <f t="shared" si="17"/>
        <v>4</v>
      </c>
      <c r="D115" t="str">
        <f t="shared" si="21"/>
        <v>Abril</v>
      </c>
      <c r="E115" t="str">
        <f t="shared" si="18"/>
        <v>abr</v>
      </c>
      <c r="F115" s="2" t="str">
        <f t="shared" si="22"/>
        <v>Abril/2026</v>
      </c>
      <c r="G115" t="str">
        <f t="shared" si="19"/>
        <v>T2</v>
      </c>
    </row>
    <row r="116" spans="1:7" x14ac:dyDescent="0.25">
      <c r="A116" s="2">
        <f t="shared" si="20"/>
        <v>46137</v>
      </c>
      <c r="B116">
        <f t="shared" si="16"/>
        <v>2026</v>
      </c>
      <c r="C116">
        <f t="shared" si="17"/>
        <v>4</v>
      </c>
      <c r="D116" t="str">
        <f t="shared" si="21"/>
        <v>Abril</v>
      </c>
      <c r="E116" t="str">
        <f t="shared" si="18"/>
        <v>abr</v>
      </c>
      <c r="F116" s="2" t="str">
        <f t="shared" si="22"/>
        <v>Abril/2026</v>
      </c>
      <c r="G116" t="str">
        <f t="shared" si="19"/>
        <v>T2</v>
      </c>
    </row>
    <row r="117" spans="1:7" x14ac:dyDescent="0.25">
      <c r="A117" s="2">
        <f t="shared" si="20"/>
        <v>46138</v>
      </c>
      <c r="B117">
        <f t="shared" si="16"/>
        <v>2026</v>
      </c>
      <c r="C117">
        <f t="shared" si="17"/>
        <v>4</v>
      </c>
      <c r="D117" t="str">
        <f t="shared" si="21"/>
        <v>Abril</v>
      </c>
      <c r="E117" t="str">
        <f t="shared" si="18"/>
        <v>abr</v>
      </c>
      <c r="F117" s="2" t="str">
        <f t="shared" si="22"/>
        <v>Abril/2026</v>
      </c>
      <c r="G117" t="str">
        <f t="shared" si="19"/>
        <v>T2</v>
      </c>
    </row>
    <row r="118" spans="1:7" x14ac:dyDescent="0.25">
      <c r="A118" s="2">
        <f t="shared" si="20"/>
        <v>46139</v>
      </c>
      <c r="B118">
        <f t="shared" si="16"/>
        <v>2026</v>
      </c>
      <c r="C118">
        <f t="shared" si="17"/>
        <v>4</v>
      </c>
      <c r="D118" t="str">
        <f t="shared" si="21"/>
        <v>Abril</v>
      </c>
      <c r="E118" t="str">
        <f t="shared" si="18"/>
        <v>abr</v>
      </c>
      <c r="F118" s="2" t="str">
        <f t="shared" si="22"/>
        <v>Abril/2026</v>
      </c>
      <c r="G118" t="str">
        <f t="shared" si="19"/>
        <v>T2</v>
      </c>
    </row>
    <row r="119" spans="1:7" x14ac:dyDescent="0.25">
      <c r="A119" s="2">
        <f t="shared" si="20"/>
        <v>46140</v>
      </c>
      <c r="B119">
        <f t="shared" si="16"/>
        <v>2026</v>
      </c>
      <c r="C119">
        <f t="shared" si="17"/>
        <v>4</v>
      </c>
      <c r="D119" t="str">
        <f t="shared" si="21"/>
        <v>Abril</v>
      </c>
      <c r="E119" t="str">
        <f t="shared" si="18"/>
        <v>abr</v>
      </c>
      <c r="F119" s="2" t="str">
        <f t="shared" si="22"/>
        <v>Abril/2026</v>
      </c>
      <c r="G119" t="str">
        <f t="shared" si="19"/>
        <v>T2</v>
      </c>
    </row>
    <row r="120" spans="1:7" x14ac:dyDescent="0.25">
      <c r="A120" s="2">
        <f t="shared" si="20"/>
        <v>46141</v>
      </c>
      <c r="B120">
        <f t="shared" si="16"/>
        <v>2026</v>
      </c>
      <c r="C120">
        <f t="shared" si="17"/>
        <v>4</v>
      </c>
      <c r="D120" t="str">
        <f t="shared" si="21"/>
        <v>Abril</v>
      </c>
      <c r="E120" t="str">
        <f t="shared" si="18"/>
        <v>abr</v>
      </c>
      <c r="F120" s="2" t="str">
        <f t="shared" si="22"/>
        <v>Abril/2026</v>
      </c>
      <c r="G120" t="str">
        <f t="shared" si="19"/>
        <v>T2</v>
      </c>
    </row>
    <row r="121" spans="1:7" x14ac:dyDescent="0.25">
      <c r="A121" s="2">
        <f t="shared" si="20"/>
        <v>46142</v>
      </c>
      <c r="B121">
        <f t="shared" si="16"/>
        <v>2026</v>
      </c>
      <c r="C121">
        <f t="shared" si="17"/>
        <v>4</v>
      </c>
      <c r="D121" t="str">
        <f t="shared" si="21"/>
        <v>Abril</v>
      </c>
      <c r="E121" t="str">
        <f t="shared" si="18"/>
        <v>abr</v>
      </c>
      <c r="F121" s="2" t="str">
        <f t="shared" si="22"/>
        <v>Abril/2026</v>
      </c>
      <c r="G121" t="str">
        <f t="shared" si="19"/>
        <v>T2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27299-57CD-4A34-BEAF-4E147E21D951}">
  <sheetPr codeName="Planilha6"/>
  <dimension ref="A1:M27"/>
  <sheetViews>
    <sheetView workbookViewId="0">
      <selection activeCell="D29" sqref="D29"/>
    </sheetView>
  </sheetViews>
  <sheetFormatPr defaultRowHeight="15" x14ac:dyDescent="0.25"/>
  <cols>
    <col min="1" max="1" width="15.5703125" bestFit="1" customWidth="1"/>
    <col min="2" max="2" width="19" bestFit="1" customWidth="1"/>
    <col min="3" max="3" width="7.85546875" bestFit="1" customWidth="1"/>
    <col min="4" max="4" width="9.85546875" bestFit="1" customWidth="1"/>
    <col min="5" max="5" width="15.85546875" bestFit="1" customWidth="1"/>
    <col min="6" max="6" width="14.28515625" bestFit="1" customWidth="1"/>
    <col min="7" max="7" width="17.7109375" bestFit="1" customWidth="1"/>
    <col min="8" max="8" width="16.28515625" bestFit="1" customWidth="1"/>
    <col min="9" max="9" width="17" bestFit="1" customWidth="1"/>
    <col min="10" max="10" width="9" bestFit="1" customWidth="1"/>
    <col min="11" max="11" width="15.5703125" bestFit="1" customWidth="1"/>
    <col min="12" max="12" width="7" bestFit="1" customWidth="1"/>
    <col min="13" max="14" width="6.7109375" bestFit="1" customWidth="1"/>
    <col min="15" max="15" width="7.42578125" bestFit="1" customWidth="1"/>
    <col min="16" max="16" width="7.140625" customWidth="1"/>
  </cols>
  <sheetData>
    <row r="1" spans="1:13" x14ac:dyDescent="0.25">
      <c r="A1" t="s">
        <v>1</v>
      </c>
      <c r="B1" t="s">
        <v>2</v>
      </c>
      <c r="C1" t="s">
        <v>3</v>
      </c>
      <c r="D1" t="s">
        <v>39</v>
      </c>
      <c r="E1" t="s">
        <v>65</v>
      </c>
      <c r="F1" t="s">
        <v>77</v>
      </c>
      <c r="G1" t="s">
        <v>18</v>
      </c>
      <c r="H1" t="s">
        <v>90</v>
      </c>
      <c r="I1" t="s">
        <v>35</v>
      </c>
      <c r="J1" t="s">
        <v>40</v>
      </c>
      <c r="K1" t="s">
        <v>91</v>
      </c>
      <c r="L1" t="s">
        <v>66</v>
      </c>
      <c r="M1" t="s">
        <v>76</v>
      </c>
    </row>
    <row r="2" spans="1:13" x14ac:dyDescent="0.25">
      <c r="A2" s="69">
        <v>46027</v>
      </c>
      <c r="B2" t="s">
        <v>45</v>
      </c>
      <c r="C2">
        <v>-189.9</v>
      </c>
      <c r="D2" t="s">
        <v>78</v>
      </c>
      <c r="E2">
        <v>3</v>
      </c>
      <c r="F2" s="2">
        <v>46054</v>
      </c>
      <c r="G2" t="s">
        <v>46</v>
      </c>
      <c r="H2" t="s">
        <v>37</v>
      </c>
      <c r="I2" t="s">
        <v>47</v>
      </c>
      <c r="J2" t="s">
        <v>44</v>
      </c>
      <c r="K2" t="s">
        <v>79</v>
      </c>
      <c r="L2">
        <v>1</v>
      </c>
      <c r="M2">
        <v>2026</v>
      </c>
    </row>
    <row r="3" spans="1:13" x14ac:dyDescent="0.25">
      <c r="A3" s="69">
        <v>46032</v>
      </c>
      <c r="B3" t="s">
        <v>51</v>
      </c>
      <c r="C3">
        <v>-89.97</v>
      </c>
      <c r="D3" t="s">
        <v>80</v>
      </c>
      <c r="E3">
        <v>10</v>
      </c>
      <c r="F3" s="2">
        <v>46054</v>
      </c>
      <c r="G3" t="s">
        <v>46</v>
      </c>
      <c r="H3" t="s">
        <v>37</v>
      </c>
      <c r="I3" t="s">
        <v>52</v>
      </c>
      <c r="J3" t="s">
        <v>44</v>
      </c>
      <c r="K3" t="s">
        <v>79</v>
      </c>
      <c r="L3">
        <v>1</v>
      </c>
      <c r="M3">
        <v>2026</v>
      </c>
    </row>
    <row r="4" spans="1:13" x14ac:dyDescent="0.25">
      <c r="A4" s="69">
        <v>46037</v>
      </c>
      <c r="B4" t="s">
        <v>53</v>
      </c>
      <c r="C4">
        <v>-45.8</v>
      </c>
      <c r="D4" t="s">
        <v>81</v>
      </c>
      <c r="E4">
        <v>1</v>
      </c>
      <c r="F4" s="2">
        <v>46054</v>
      </c>
      <c r="G4" t="s">
        <v>49</v>
      </c>
      <c r="H4" t="s">
        <v>37</v>
      </c>
      <c r="I4" t="s">
        <v>54</v>
      </c>
      <c r="J4" t="s">
        <v>44</v>
      </c>
      <c r="K4" t="s">
        <v>79</v>
      </c>
      <c r="L4">
        <v>1</v>
      </c>
      <c r="M4">
        <v>2026</v>
      </c>
    </row>
    <row r="5" spans="1:13" x14ac:dyDescent="0.25">
      <c r="A5" s="69">
        <v>46040</v>
      </c>
      <c r="B5" t="s">
        <v>55</v>
      </c>
      <c r="C5">
        <v>-250</v>
      </c>
      <c r="D5" t="s">
        <v>81</v>
      </c>
      <c r="E5">
        <v>1</v>
      </c>
      <c r="F5" s="2">
        <v>46054</v>
      </c>
      <c r="G5" t="s">
        <v>49</v>
      </c>
      <c r="H5" t="s">
        <v>37</v>
      </c>
      <c r="I5" t="s">
        <v>56</v>
      </c>
      <c r="J5" t="s">
        <v>44</v>
      </c>
      <c r="K5" t="s">
        <v>79</v>
      </c>
      <c r="L5">
        <v>1</v>
      </c>
      <c r="M5">
        <v>2026</v>
      </c>
    </row>
    <row r="6" spans="1:13" x14ac:dyDescent="0.25">
      <c r="A6" s="69">
        <v>46042</v>
      </c>
      <c r="B6" t="s">
        <v>41</v>
      </c>
      <c r="C6">
        <v>-14.9</v>
      </c>
      <c r="D6">
        <v>1</v>
      </c>
      <c r="E6">
        <v>3</v>
      </c>
      <c r="F6" s="2">
        <v>46054</v>
      </c>
      <c r="G6" t="s">
        <v>42</v>
      </c>
      <c r="H6" t="s">
        <v>37</v>
      </c>
      <c r="I6" t="s">
        <v>43</v>
      </c>
      <c r="J6" t="s">
        <v>44</v>
      </c>
      <c r="K6" t="s">
        <v>79</v>
      </c>
      <c r="L6">
        <v>1</v>
      </c>
      <c r="M6">
        <v>2026</v>
      </c>
    </row>
    <row r="7" spans="1:13" x14ac:dyDescent="0.25">
      <c r="A7" s="69">
        <v>46047</v>
      </c>
      <c r="B7" t="s">
        <v>8</v>
      </c>
      <c r="C7">
        <v>-55.9</v>
      </c>
      <c r="D7">
        <v>2</v>
      </c>
      <c r="E7">
        <v>3</v>
      </c>
      <c r="F7" s="2">
        <v>46054</v>
      </c>
      <c r="G7" t="s">
        <v>42</v>
      </c>
      <c r="H7" t="s">
        <v>37</v>
      </c>
      <c r="I7" t="s">
        <v>43</v>
      </c>
      <c r="J7" t="s">
        <v>44</v>
      </c>
      <c r="K7" t="s">
        <v>79</v>
      </c>
      <c r="L7">
        <v>1</v>
      </c>
      <c r="M7">
        <v>2026</v>
      </c>
    </row>
    <row r="8" spans="1:13" x14ac:dyDescent="0.25">
      <c r="A8" s="69">
        <v>46050</v>
      </c>
      <c r="B8" t="s">
        <v>26</v>
      </c>
      <c r="C8">
        <v>-21.9</v>
      </c>
      <c r="D8">
        <v>1</v>
      </c>
      <c r="E8">
        <v>3</v>
      </c>
      <c r="F8" s="2">
        <v>46054</v>
      </c>
      <c r="G8" t="s">
        <v>42</v>
      </c>
      <c r="H8" t="s">
        <v>37</v>
      </c>
      <c r="I8" t="s">
        <v>43</v>
      </c>
      <c r="J8" t="s">
        <v>44</v>
      </c>
      <c r="K8" t="s">
        <v>79</v>
      </c>
      <c r="L8">
        <v>1</v>
      </c>
      <c r="M8">
        <v>2026</v>
      </c>
    </row>
    <row r="9" spans="1:13" x14ac:dyDescent="0.25">
      <c r="A9" s="69">
        <v>46054</v>
      </c>
      <c r="B9" t="s">
        <v>48</v>
      </c>
      <c r="C9">
        <v>-156</v>
      </c>
      <c r="D9" t="s">
        <v>81</v>
      </c>
      <c r="E9">
        <v>1</v>
      </c>
      <c r="F9" s="2">
        <v>46082</v>
      </c>
      <c r="G9" t="s">
        <v>49</v>
      </c>
      <c r="H9" t="s">
        <v>37</v>
      </c>
      <c r="I9" t="s">
        <v>50</v>
      </c>
      <c r="J9" t="s">
        <v>44</v>
      </c>
      <c r="K9" t="s">
        <v>82</v>
      </c>
      <c r="L9">
        <v>2</v>
      </c>
      <c r="M9">
        <v>2026</v>
      </c>
    </row>
    <row r="10" spans="1:13" x14ac:dyDescent="0.25">
      <c r="A10" s="69">
        <v>46058</v>
      </c>
      <c r="B10" t="s">
        <v>45</v>
      </c>
      <c r="C10">
        <v>-189.9</v>
      </c>
      <c r="D10" t="s">
        <v>78</v>
      </c>
      <c r="E10">
        <v>3</v>
      </c>
      <c r="F10" s="2">
        <v>46082</v>
      </c>
      <c r="G10" t="s">
        <v>46</v>
      </c>
      <c r="H10" t="s">
        <v>37</v>
      </c>
      <c r="I10" t="s">
        <v>47</v>
      </c>
      <c r="J10" t="s">
        <v>44</v>
      </c>
      <c r="K10" t="s">
        <v>82</v>
      </c>
      <c r="L10">
        <v>2</v>
      </c>
      <c r="M10">
        <v>2026</v>
      </c>
    </row>
    <row r="11" spans="1:13" x14ac:dyDescent="0.25">
      <c r="A11" s="69">
        <v>46060</v>
      </c>
      <c r="B11" t="s">
        <v>29</v>
      </c>
      <c r="C11">
        <v>-89.5</v>
      </c>
      <c r="D11" t="s">
        <v>81</v>
      </c>
      <c r="E11">
        <v>1</v>
      </c>
      <c r="F11" s="2">
        <v>46082</v>
      </c>
      <c r="G11" t="s">
        <v>49</v>
      </c>
      <c r="H11" t="s">
        <v>37</v>
      </c>
      <c r="I11" t="s">
        <v>50</v>
      </c>
      <c r="J11" t="s">
        <v>44</v>
      </c>
      <c r="K11" t="s">
        <v>82</v>
      </c>
      <c r="L11">
        <v>2</v>
      </c>
      <c r="M11">
        <v>2026</v>
      </c>
    </row>
    <row r="12" spans="1:13" x14ac:dyDescent="0.25">
      <c r="A12" s="69">
        <v>46063</v>
      </c>
      <c r="B12" t="s">
        <v>51</v>
      </c>
      <c r="C12">
        <v>-89.97</v>
      </c>
      <c r="D12" t="s">
        <v>80</v>
      </c>
      <c r="E12">
        <v>10</v>
      </c>
      <c r="F12" s="2">
        <v>46082</v>
      </c>
      <c r="G12" t="s">
        <v>46</v>
      </c>
      <c r="H12" t="s">
        <v>37</v>
      </c>
      <c r="I12" t="s">
        <v>52</v>
      </c>
      <c r="J12" t="s">
        <v>44</v>
      </c>
      <c r="K12" t="s">
        <v>82</v>
      </c>
      <c r="L12">
        <v>2</v>
      </c>
      <c r="M12">
        <v>2026</v>
      </c>
    </row>
    <row r="13" spans="1:13" x14ac:dyDescent="0.25">
      <c r="A13" s="69">
        <v>46067</v>
      </c>
      <c r="B13" t="s">
        <v>57</v>
      </c>
      <c r="C13">
        <v>-300</v>
      </c>
      <c r="D13" t="s">
        <v>83</v>
      </c>
      <c r="E13">
        <v>4</v>
      </c>
      <c r="F13" s="2">
        <v>46082</v>
      </c>
      <c r="G13" t="s">
        <v>46</v>
      </c>
      <c r="H13" t="s">
        <v>37</v>
      </c>
      <c r="I13" t="s">
        <v>58</v>
      </c>
      <c r="J13" t="s">
        <v>44</v>
      </c>
      <c r="K13" t="s">
        <v>82</v>
      </c>
      <c r="L13">
        <v>2</v>
      </c>
      <c r="M13">
        <v>2026</v>
      </c>
    </row>
    <row r="14" spans="1:13" x14ac:dyDescent="0.25">
      <c r="A14" s="69">
        <v>46073</v>
      </c>
      <c r="B14" t="s">
        <v>41</v>
      </c>
      <c r="C14">
        <v>-14.9</v>
      </c>
      <c r="D14">
        <v>2</v>
      </c>
      <c r="E14">
        <v>3</v>
      </c>
      <c r="F14" s="2">
        <v>46082</v>
      </c>
      <c r="G14" t="s">
        <v>42</v>
      </c>
      <c r="H14" t="s">
        <v>37</v>
      </c>
      <c r="I14" t="s">
        <v>43</v>
      </c>
      <c r="J14" t="s">
        <v>44</v>
      </c>
      <c r="K14" t="s">
        <v>82</v>
      </c>
      <c r="L14">
        <v>2</v>
      </c>
      <c r="M14">
        <v>2026</v>
      </c>
    </row>
    <row r="15" spans="1:13" x14ac:dyDescent="0.25">
      <c r="A15" s="69">
        <v>46073</v>
      </c>
      <c r="B15" t="s">
        <v>8</v>
      </c>
      <c r="C15">
        <v>-55.9</v>
      </c>
      <c r="D15">
        <v>3</v>
      </c>
      <c r="E15">
        <v>3</v>
      </c>
      <c r="F15" s="2">
        <v>46082</v>
      </c>
      <c r="G15" t="s">
        <v>42</v>
      </c>
      <c r="H15" t="s">
        <v>37</v>
      </c>
      <c r="I15" t="s">
        <v>43</v>
      </c>
      <c r="J15" t="s">
        <v>44</v>
      </c>
      <c r="K15" t="s">
        <v>82</v>
      </c>
      <c r="L15">
        <v>2</v>
      </c>
      <c r="M15">
        <v>2026</v>
      </c>
    </row>
    <row r="16" spans="1:13" x14ac:dyDescent="0.25">
      <c r="A16" s="69">
        <v>46073</v>
      </c>
      <c r="B16" t="s">
        <v>26</v>
      </c>
      <c r="C16">
        <v>-21.9</v>
      </c>
      <c r="D16">
        <v>2</v>
      </c>
      <c r="E16">
        <v>3</v>
      </c>
      <c r="F16" s="2">
        <v>46082</v>
      </c>
      <c r="G16" t="s">
        <v>42</v>
      </c>
      <c r="H16" t="s">
        <v>37</v>
      </c>
      <c r="I16" t="s">
        <v>43</v>
      </c>
      <c r="J16" t="s">
        <v>44</v>
      </c>
      <c r="K16" t="s">
        <v>82</v>
      </c>
      <c r="L16">
        <v>2</v>
      </c>
      <c r="M16">
        <v>2026</v>
      </c>
    </row>
    <row r="17" spans="1:13" x14ac:dyDescent="0.25">
      <c r="A17" s="69">
        <v>46073</v>
      </c>
      <c r="B17" t="s">
        <v>59</v>
      </c>
      <c r="C17">
        <v>-160</v>
      </c>
      <c r="D17" t="s">
        <v>84</v>
      </c>
      <c r="E17">
        <v>2</v>
      </c>
      <c r="F17" s="2">
        <v>46082</v>
      </c>
      <c r="G17" t="s">
        <v>46</v>
      </c>
      <c r="H17" t="s">
        <v>37</v>
      </c>
      <c r="I17" t="s">
        <v>60</v>
      </c>
      <c r="J17" t="s">
        <v>44</v>
      </c>
      <c r="K17" t="s">
        <v>82</v>
      </c>
      <c r="L17">
        <v>2</v>
      </c>
      <c r="M17">
        <v>2026</v>
      </c>
    </row>
    <row r="18" spans="1:13" x14ac:dyDescent="0.25">
      <c r="A18" s="69">
        <v>46086</v>
      </c>
      <c r="B18" t="s">
        <v>45</v>
      </c>
      <c r="C18">
        <v>-189.9</v>
      </c>
      <c r="D18" t="s">
        <v>85</v>
      </c>
      <c r="E18">
        <v>3</v>
      </c>
      <c r="F18" s="2">
        <v>46113</v>
      </c>
      <c r="G18" t="s">
        <v>46</v>
      </c>
      <c r="H18" t="s">
        <v>37</v>
      </c>
      <c r="I18" t="s">
        <v>47</v>
      </c>
      <c r="J18" t="s">
        <v>61</v>
      </c>
      <c r="K18" t="s">
        <v>86</v>
      </c>
      <c r="L18">
        <v>3</v>
      </c>
      <c r="M18">
        <v>2026</v>
      </c>
    </row>
    <row r="19" spans="1:13" x14ac:dyDescent="0.25">
      <c r="A19" s="69">
        <v>46089</v>
      </c>
      <c r="B19" t="s">
        <v>62</v>
      </c>
      <c r="C19">
        <v>-67.900000000000006</v>
      </c>
      <c r="D19" t="s">
        <v>81</v>
      </c>
      <c r="E19">
        <v>1</v>
      </c>
      <c r="F19" s="2">
        <v>46113</v>
      </c>
      <c r="G19" t="s">
        <v>49</v>
      </c>
      <c r="H19" t="s">
        <v>37</v>
      </c>
      <c r="I19" t="s">
        <v>50</v>
      </c>
      <c r="J19" t="s">
        <v>61</v>
      </c>
      <c r="K19" t="s">
        <v>86</v>
      </c>
      <c r="L19">
        <v>3</v>
      </c>
      <c r="M19">
        <v>2026</v>
      </c>
    </row>
    <row r="20" spans="1:13" x14ac:dyDescent="0.25">
      <c r="A20" s="69">
        <v>46091</v>
      </c>
      <c r="B20" t="s">
        <v>51</v>
      </c>
      <c r="C20">
        <v>-89.97</v>
      </c>
      <c r="D20" t="s">
        <v>87</v>
      </c>
      <c r="E20">
        <v>10</v>
      </c>
      <c r="F20" s="2">
        <v>46113</v>
      </c>
      <c r="G20" t="s">
        <v>46</v>
      </c>
      <c r="H20" t="s">
        <v>37</v>
      </c>
      <c r="I20" t="s">
        <v>52</v>
      </c>
      <c r="J20" t="s">
        <v>61</v>
      </c>
      <c r="K20" t="s">
        <v>86</v>
      </c>
      <c r="L20">
        <v>3</v>
      </c>
      <c r="M20">
        <v>2026</v>
      </c>
    </row>
    <row r="21" spans="1:13" x14ac:dyDescent="0.25">
      <c r="A21" s="69">
        <v>46095</v>
      </c>
      <c r="B21" t="s">
        <v>57</v>
      </c>
      <c r="C21">
        <v>-300</v>
      </c>
      <c r="D21" t="s">
        <v>88</v>
      </c>
      <c r="E21">
        <v>4</v>
      </c>
      <c r="F21" s="2">
        <v>46113</v>
      </c>
      <c r="G21" t="s">
        <v>46</v>
      </c>
      <c r="H21" t="s">
        <v>37</v>
      </c>
      <c r="I21" t="s">
        <v>58</v>
      </c>
      <c r="J21" t="s">
        <v>61</v>
      </c>
      <c r="K21" t="s">
        <v>86</v>
      </c>
      <c r="L21">
        <v>3</v>
      </c>
      <c r="M21">
        <v>2026</v>
      </c>
    </row>
    <row r="22" spans="1:13" x14ac:dyDescent="0.25">
      <c r="A22" s="69">
        <v>46099</v>
      </c>
      <c r="B22" t="s">
        <v>63</v>
      </c>
      <c r="C22">
        <v>-245</v>
      </c>
      <c r="D22" t="s">
        <v>81</v>
      </c>
      <c r="E22">
        <v>1</v>
      </c>
      <c r="F22" s="2">
        <v>46113</v>
      </c>
      <c r="G22" t="s">
        <v>49</v>
      </c>
      <c r="H22" t="s">
        <v>37</v>
      </c>
      <c r="I22" t="s">
        <v>60</v>
      </c>
      <c r="J22" t="s">
        <v>61</v>
      </c>
      <c r="K22" t="s">
        <v>86</v>
      </c>
      <c r="L22">
        <v>3</v>
      </c>
      <c r="M22">
        <v>2026</v>
      </c>
    </row>
    <row r="23" spans="1:13" x14ac:dyDescent="0.25">
      <c r="A23" s="69">
        <v>46101</v>
      </c>
      <c r="B23" t="s">
        <v>41</v>
      </c>
      <c r="C23">
        <v>-14.9</v>
      </c>
      <c r="D23">
        <v>3</v>
      </c>
      <c r="E23">
        <v>3</v>
      </c>
      <c r="F23" s="2">
        <v>46113</v>
      </c>
      <c r="G23" t="s">
        <v>42</v>
      </c>
      <c r="H23" t="s">
        <v>37</v>
      </c>
      <c r="I23" t="s">
        <v>43</v>
      </c>
      <c r="J23" t="s">
        <v>61</v>
      </c>
      <c r="K23" t="s">
        <v>86</v>
      </c>
      <c r="L23">
        <v>3</v>
      </c>
      <c r="M23">
        <v>2026</v>
      </c>
    </row>
    <row r="24" spans="1:13" x14ac:dyDescent="0.25">
      <c r="A24" s="69">
        <v>46101</v>
      </c>
      <c r="B24" t="s">
        <v>8</v>
      </c>
      <c r="C24">
        <v>-55.9</v>
      </c>
      <c r="D24">
        <v>4</v>
      </c>
      <c r="E24">
        <v>3</v>
      </c>
      <c r="F24" s="2">
        <v>46113</v>
      </c>
      <c r="G24" t="s">
        <v>42</v>
      </c>
      <c r="H24" t="s">
        <v>37</v>
      </c>
      <c r="I24" t="s">
        <v>43</v>
      </c>
      <c r="J24" t="s">
        <v>61</v>
      </c>
      <c r="K24" t="s">
        <v>86</v>
      </c>
      <c r="L24">
        <v>3</v>
      </c>
      <c r="M24">
        <v>2026</v>
      </c>
    </row>
    <row r="25" spans="1:13" x14ac:dyDescent="0.25">
      <c r="A25" s="69">
        <v>46101</v>
      </c>
      <c r="B25" t="s">
        <v>26</v>
      </c>
      <c r="C25">
        <v>-21.9</v>
      </c>
      <c r="D25">
        <v>4</v>
      </c>
      <c r="E25">
        <v>3</v>
      </c>
      <c r="F25" s="2">
        <v>46113</v>
      </c>
      <c r="G25" t="s">
        <v>42</v>
      </c>
      <c r="H25" t="s">
        <v>37</v>
      </c>
      <c r="I25" t="s">
        <v>43</v>
      </c>
      <c r="J25" t="s">
        <v>61</v>
      </c>
      <c r="K25" t="s">
        <v>86</v>
      </c>
      <c r="L25">
        <v>3</v>
      </c>
      <c r="M25">
        <v>2026</v>
      </c>
    </row>
    <row r="26" spans="1:13" x14ac:dyDescent="0.25">
      <c r="A26" s="69">
        <v>46101</v>
      </c>
      <c r="B26" t="s">
        <v>59</v>
      </c>
      <c r="C26">
        <v>-160</v>
      </c>
      <c r="D26" t="s">
        <v>89</v>
      </c>
      <c r="E26">
        <v>2</v>
      </c>
      <c r="F26" s="2">
        <v>46113</v>
      </c>
      <c r="G26" t="s">
        <v>46</v>
      </c>
      <c r="H26" t="s">
        <v>37</v>
      </c>
      <c r="I26" t="s">
        <v>60</v>
      </c>
      <c r="J26" t="s">
        <v>61</v>
      </c>
      <c r="K26" t="s">
        <v>86</v>
      </c>
      <c r="L26">
        <v>3</v>
      </c>
      <c r="M26">
        <v>2026</v>
      </c>
    </row>
    <row r="27" spans="1:13" x14ac:dyDescent="0.25">
      <c r="A27" s="69">
        <v>46103</v>
      </c>
      <c r="B27" t="s">
        <v>64</v>
      </c>
      <c r="C27">
        <v>-78</v>
      </c>
      <c r="D27" t="s">
        <v>81</v>
      </c>
      <c r="E27">
        <v>1</v>
      </c>
      <c r="F27" s="2">
        <v>46113</v>
      </c>
      <c r="G27" t="s">
        <v>49</v>
      </c>
      <c r="H27" t="s">
        <v>37</v>
      </c>
      <c r="I27" t="s">
        <v>43</v>
      </c>
      <c r="J27" t="s">
        <v>61</v>
      </c>
      <c r="K27" t="s">
        <v>86</v>
      </c>
      <c r="L27">
        <v>3</v>
      </c>
      <c r="M27">
        <v>2026</v>
      </c>
    </row>
  </sheetData>
  <phoneticPr fontId="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78B2F-E1E3-4E64-B938-B91C5806D5BC}">
  <sheetPr codeName="Planilha3"/>
  <dimension ref="A1:W30"/>
  <sheetViews>
    <sheetView topLeftCell="G2" workbookViewId="0">
      <selection activeCell="G5" sqref="G5:G29"/>
    </sheetView>
  </sheetViews>
  <sheetFormatPr defaultRowHeight="15" x14ac:dyDescent="0.25"/>
  <cols>
    <col min="1" max="1" width="10.42578125" bestFit="1" customWidth="1"/>
    <col min="2" max="2" width="30.28515625" customWidth="1"/>
    <col min="3" max="3" width="12.5703125" bestFit="1" customWidth="1"/>
    <col min="4" max="4" width="21.7109375" bestFit="1" customWidth="1"/>
    <col min="5" max="5" width="16.5703125" customWidth="1"/>
    <col min="6" max="6" width="17" bestFit="1" customWidth="1"/>
    <col min="7" max="7" width="13.28515625" bestFit="1" customWidth="1"/>
    <col min="8" max="8" width="13.42578125" bestFit="1" customWidth="1"/>
    <col min="12" max="12" width="10.42578125" bestFit="1" customWidth="1"/>
    <col min="13" max="13" width="21" bestFit="1" customWidth="1"/>
    <col min="14" max="14" width="10.5703125" bestFit="1" customWidth="1"/>
    <col min="15" max="15" width="11.7109375" customWidth="1"/>
    <col min="16" max="16" width="18" customWidth="1"/>
    <col min="17" max="17" width="16.5703125" bestFit="1" customWidth="1"/>
    <col min="18" max="18" width="17.7109375" bestFit="1" customWidth="1"/>
    <col min="19" max="19" width="17" bestFit="1" customWidth="1"/>
    <col min="21" max="21" width="17.85546875" bestFit="1" customWidth="1"/>
  </cols>
  <sheetData>
    <row r="1" spans="1:23" ht="39.950000000000003" customHeight="1" x14ac:dyDescent="0.25">
      <c r="A1" s="66"/>
      <c r="B1" s="66"/>
      <c r="C1" s="66" t="s">
        <v>17</v>
      </c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</row>
    <row r="2" spans="1:23" ht="6" customHeight="1" x14ac:dyDescent="0.2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</row>
    <row r="3" spans="1:23" ht="24.95" customHeight="1" x14ac:dyDescent="0.25">
      <c r="A3" s="67"/>
      <c r="B3" s="67"/>
      <c r="C3" s="67"/>
      <c r="D3" s="65" t="s">
        <v>0</v>
      </c>
      <c r="E3" s="67"/>
      <c r="F3" s="67"/>
      <c r="G3" s="67"/>
      <c r="H3" s="67"/>
      <c r="I3" s="67"/>
      <c r="J3" s="67"/>
      <c r="L3" s="67"/>
      <c r="M3" s="67"/>
      <c r="N3" s="67"/>
      <c r="O3" s="67"/>
      <c r="P3" s="67" t="s">
        <v>37</v>
      </c>
      <c r="Q3" s="67"/>
      <c r="R3" s="67"/>
      <c r="S3" s="67"/>
      <c r="T3" s="67"/>
      <c r="U3" s="67"/>
      <c r="V3" s="67"/>
      <c r="W3" s="67"/>
    </row>
    <row r="4" spans="1:23" ht="15.75" thickBot="1" x14ac:dyDescent="0.3">
      <c r="A4" s="12" t="s">
        <v>1</v>
      </c>
      <c r="B4" s="13" t="s">
        <v>2</v>
      </c>
      <c r="C4" s="13" t="s">
        <v>3</v>
      </c>
      <c r="D4" s="13" t="s">
        <v>18</v>
      </c>
      <c r="E4" s="13" t="s">
        <v>34</v>
      </c>
      <c r="F4" s="13" t="s">
        <v>35</v>
      </c>
      <c r="G4" s="14" t="s">
        <v>36</v>
      </c>
      <c r="H4" s="13" t="s">
        <v>75</v>
      </c>
      <c r="I4" s="13" t="s">
        <v>66</v>
      </c>
      <c r="J4" s="13" t="s">
        <v>76</v>
      </c>
      <c r="L4" s="12" t="s">
        <v>1</v>
      </c>
      <c r="M4" s="13" t="s">
        <v>38</v>
      </c>
      <c r="N4" s="13" t="s">
        <v>3</v>
      </c>
      <c r="O4" s="13" t="s">
        <v>39</v>
      </c>
      <c r="P4" s="13" t="s">
        <v>65</v>
      </c>
      <c r="Q4" s="13" t="s">
        <v>77</v>
      </c>
      <c r="R4" s="13" t="s">
        <v>18</v>
      </c>
      <c r="S4" s="13" t="s">
        <v>35</v>
      </c>
      <c r="T4" s="35" t="s">
        <v>40</v>
      </c>
      <c r="U4" s="13" t="s">
        <v>91</v>
      </c>
      <c r="V4" s="13" t="s">
        <v>66</v>
      </c>
      <c r="W4" s="13" t="s">
        <v>76</v>
      </c>
    </row>
    <row r="5" spans="1:23" x14ac:dyDescent="0.25">
      <c r="A5" s="15">
        <v>46027</v>
      </c>
      <c r="B5" s="10" t="s">
        <v>4</v>
      </c>
      <c r="C5" s="53">
        <v>-450.75</v>
      </c>
      <c r="D5" s="11" t="s">
        <v>19</v>
      </c>
      <c r="E5" s="19" t="str">
        <f t="shared" ref="E5:E29" si="0">IF(C5&gt;0,"Entrada","Saída")</f>
        <v>Saída</v>
      </c>
      <c r="F5" s="19" t="str">
        <f t="shared" ref="F5:F29" si="1">IF(OR(ISNUMBER(SEARCH("Supermercado",B5)),ISNUMBER(SEARCH("iFood",B5)),ISNUMBER(SEARCH("Restaurante",B5))),"Alimentação",IF(OR(ISNUMBER(SEARCH("Salário",B5)),ISNUMBER(SEARCH("recebida",D5))),"Receitas",IF(ISNUMBER(SEARCH("enviada",D5)),"Transferências",IF(OR(ISNUMBER(SEARCH("Luz",B5)),ISNUMBER(SEARCH("Água",B5)),ISNUMBER(SEARCH("Internet",B5)),ISNUMBER(SEARCH("Aluguel",B5))),"Moradia",IF(OR(ISNUMBER(SEARCH("Posto",B5)),ISNUMBER(SEARCH("Uber",B5))),"Transporte",IF(OR(ISNUMBER(SEARCH("Netflix",B5)),ISNUMBER(SEARCH("Spotify",B5)),ISNUMBER(SEARCH("Academia",B5))),"Lazer/Assinaturas",IF(ISNUMBER(SEARCH("Farmácia",B5)),"Saúde",IF(ISNUMBER(SEARCH("Mercado Livre",B5)),"Compras Online",IF(ISNUMBER(SEARCH("Saque",B5)),"Saque","Outros")))))))))</f>
        <v>Alimentação</v>
      </c>
      <c r="G5" s="58">
        <f>SUM($C$5:C5)</f>
        <v>-450.75</v>
      </c>
      <c r="H5" s="19" t="str">
        <f t="shared" ref="H5:H29" si="2">UPPER(TEXT(A5,"mmm")&amp;"/"&amp;YEAR(A5))</f>
        <v>JAN/2026</v>
      </c>
      <c r="I5" s="19">
        <f>MONTH(ContaCorrente[[#This Row],[Data]])</f>
        <v>1</v>
      </c>
      <c r="J5" s="19">
        <f>YEAR(ContaCorrente[[#This Row],[Data]])</f>
        <v>2026</v>
      </c>
      <c r="L5" s="36">
        <v>46027</v>
      </c>
      <c r="M5" s="37" t="s">
        <v>45</v>
      </c>
      <c r="N5" s="63">
        <v>-189.9</v>
      </c>
      <c r="O5" s="38" t="str">
        <f>IF(R5="Assinatura",COUNTIF($B5:M$7,M5),IF(R5="Compra à vista","1/1",COUNTIF($B5:M$7,M5)&amp;"/"&amp;P5))</f>
        <v>1/3</v>
      </c>
      <c r="P5" s="44">
        <v>3</v>
      </c>
      <c r="Q5" s="44" t="str">
        <f>Tabela3789[[#This Row],[Mês Seguinte]]&amp;"/"&amp;Tabela3789[[#This Row],[Ano]]</f>
        <v>FEV/2026</v>
      </c>
      <c r="R5" s="39" t="s">
        <v>46</v>
      </c>
      <c r="S5" s="39" t="s">
        <v>47</v>
      </c>
      <c r="T5" s="40" t="s">
        <v>44</v>
      </c>
      <c r="U5" s="40" t="str">
        <f>UPPER(TEXT(EDATE(Tabela3789[[#This Row],[Data]],1),"MMM"))</f>
        <v>FEV</v>
      </c>
      <c r="V5" s="40">
        <f>MONTH(Tabela3789[[#This Row],[Data]])</f>
        <v>1</v>
      </c>
      <c r="W5" s="40">
        <f>YEAR(Tabela3789[[#This Row],[Data]])</f>
        <v>2026</v>
      </c>
    </row>
    <row r="6" spans="1:23" x14ac:dyDescent="0.25">
      <c r="A6" s="16">
        <v>46032</v>
      </c>
      <c r="B6" s="7" t="s">
        <v>5</v>
      </c>
      <c r="C6" s="54">
        <v>5500</v>
      </c>
      <c r="D6" s="8" t="s">
        <v>20</v>
      </c>
      <c r="E6" s="20" t="str">
        <f t="shared" si="0"/>
        <v>Entrada</v>
      </c>
      <c r="F6" s="20" t="str">
        <f t="shared" si="1"/>
        <v>Receitas</v>
      </c>
      <c r="G6" s="59">
        <f>SUM($C$5:C6)</f>
        <v>5049.25</v>
      </c>
      <c r="H6" s="20" t="str">
        <f t="shared" si="2"/>
        <v>JAN/2026</v>
      </c>
      <c r="I6" s="20">
        <f>MONTH(ContaCorrente[[#This Row],[Data]])</f>
        <v>1</v>
      </c>
      <c r="J6" s="20">
        <f>YEAR(ContaCorrente[[#This Row],[Data]])</f>
        <v>2026</v>
      </c>
      <c r="L6" s="17">
        <v>46032</v>
      </c>
      <c r="M6" s="5" t="s">
        <v>51</v>
      </c>
      <c r="N6" s="55">
        <v>-89.97</v>
      </c>
      <c r="O6" s="31" t="str">
        <f>IF(R6="Assinatura",COUNTIF($B6:M$7,M6),IF(R6="Compra à vista","1/1",COUNTIF($B6:M$7,M6)&amp;"/"&amp;P6))</f>
        <v>1/10</v>
      </c>
      <c r="P6" s="45">
        <v>10</v>
      </c>
      <c r="Q6" s="45" t="str">
        <f>Tabela3789[[#This Row],[Mês Seguinte]]&amp;"/"&amp;Tabela3789[[#This Row],[Ano]]</f>
        <v>FEV/2026</v>
      </c>
      <c r="R6" s="21" t="s">
        <v>46</v>
      </c>
      <c r="S6" s="21" t="s">
        <v>52</v>
      </c>
      <c r="T6" s="34" t="s">
        <v>44</v>
      </c>
      <c r="U6" s="34" t="str">
        <f>UPPER(TEXT(EDATE(Tabela3789[[#This Row],[Data]],1),"MMM"))</f>
        <v>FEV</v>
      </c>
      <c r="V6" s="34">
        <f>MONTH(Tabela3789[[#This Row],[Data]])</f>
        <v>1</v>
      </c>
      <c r="W6" s="34">
        <f>YEAR(Tabela3789[[#This Row],[Data]])</f>
        <v>2026</v>
      </c>
    </row>
    <row r="7" spans="1:23" x14ac:dyDescent="0.25">
      <c r="A7" s="17">
        <v>46037</v>
      </c>
      <c r="B7" s="5" t="s">
        <v>6</v>
      </c>
      <c r="C7" s="55">
        <v>-185.3</v>
      </c>
      <c r="D7" s="6" t="s">
        <v>21</v>
      </c>
      <c r="E7" s="21" t="str">
        <f t="shared" si="0"/>
        <v>Saída</v>
      </c>
      <c r="F7" s="21" t="str">
        <f t="shared" si="1"/>
        <v>Moradia</v>
      </c>
      <c r="G7" s="60">
        <f>SUM($C$5:C7)</f>
        <v>4863.95</v>
      </c>
      <c r="H7" s="19" t="str">
        <f t="shared" si="2"/>
        <v>JAN/2026</v>
      </c>
      <c r="I7" s="19">
        <f>MONTH(ContaCorrente[[#This Row],[Data]])</f>
        <v>1</v>
      </c>
      <c r="J7" s="19">
        <f>YEAR(ContaCorrente[[#This Row],[Data]])</f>
        <v>2026</v>
      </c>
      <c r="L7" s="16">
        <v>46037</v>
      </c>
      <c r="M7" s="7" t="s">
        <v>53</v>
      </c>
      <c r="N7" s="54">
        <v>-45.8</v>
      </c>
      <c r="O7" s="32" t="str">
        <f>IF(R7="Assinatura",COUNTIF($B$7:M7,M7),IF(R7="Compra à vista","1/1",COUNTIF($B$7:M7,M7)&amp;"/"&amp;P7))</f>
        <v>1/1</v>
      </c>
      <c r="P7" s="46">
        <v>1</v>
      </c>
      <c r="Q7" s="44" t="str">
        <f>Tabela3789[[#This Row],[Mês Seguinte]]&amp;"/"&amp;Tabela3789[[#This Row],[Ano]]</f>
        <v>FEV/2026</v>
      </c>
      <c r="R7" s="20" t="s">
        <v>49</v>
      </c>
      <c r="S7" s="20" t="s">
        <v>54</v>
      </c>
      <c r="T7" s="33" t="s">
        <v>44</v>
      </c>
      <c r="U7" s="40" t="str">
        <f>UPPER(TEXT(EDATE(Tabela3789[[#This Row],[Data]],1),"MMM"))</f>
        <v>FEV</v>
      </c>
      <c r="V7" s="40">
        <f>MONTH(Tabela3789[[#This Row],[Data]])</f>
        <v>1</v>
      </c>
      <c r="W7" s="40">
        <f>YEAR(Tabela3789[[#This Row],[Data]])</f>
        <v>2026</v>
      </c>
    </row>
    <row r="8" spans="1:23" x14ac:dyDescent="0.25">
      <c r="A8" s="16">
        <v>46040</v>
      </c>
      <c r="B8" s="7" t="s">
        <v>7</v>
      </c>
      <c r="C8" s="54">
        <v>-200</v>
      </c>
      <c r="D8" s="8" t="s">
        <v>19</v>
      </c>
      <c r="E8" s="20" t="str">
        <f t="shared" si="0"/>
        <v>Saída</v>
      </c>
      <c r="F8" s="20" t="str">
        <f t="shared" si="1"/>
        <v>Transporte</v>
      </c>
      <c r="G8" s="59">
        <f>SUM($C$5:C8)</f>
        <v>4663.95</v>
      </c>
      <c r="H8" s="20" t="str">
        <f t="shared" si="2"/>
        <v>JAN/2026</v>
      </c>
      <c r="I8" s="20">
        <f>MONTH(ContaCorrente[[#This Row],[Data]])</f>
        <v>1</v>
      </c>
      <c r="J8" s="20">
        <f>YEAR(ContaCorrente[[#This Row],[Data]])</f>
        <v>2026</v>
      </c>
      <c r="L8" s="17">
        <v>46040</v>
      </c>
      <c r="M8" s="5" t="s">
        <v>55</v>
      </c>
      <c r="N8" s="55">
        <v>-250</v>
      </c>
      <c r="O8" s="31" t="str">
        <f>IF(R8="Assinatura",COUNTIF($B$7:M8,M8),IF(R8="Compra à vista","1/1",COUNTIF($B$7:M8,M8)&amp;"/"&amp;P8))</f>
        <v>1/1</v>
      </c>
      <c r="P8" s="45">
        <v>1</v>
      </c>
      <c r="Q8" s="45" t="str">
        <f>Tabela3789[[#This Row],[Mês Seguinte]]&amp;"/"&amp;Tabela3789[[#This Row],[Ano]]</f>
        <v>FEV/2026</v>
      </c>
      <c r="R8" s="21" t="s">
        <v>49</v>
      </c>
      <c r="S8" s="21" t="s">
        <v>56</v>
      </c>
      <c r="T8" s="34" t="s">
        <v>44</v>
      </c>
      <c r="U8" s="34" t="str">
        <f>UPPER(TEXT(EDATE(Tabela3789[[#This Row],[Data]],1),"MMM"))</f>
        <v>FEV</v>
      </c>
      <c r="V8" s="34">
        <f>MONTH(Tabela3789[[#This Row],[Data]])</f>
        <v>1</v>
      </c>
      <c r="W8" s="34">
        <f>YEAR(Tabela3789[[#This Row],[Data]])</f>
        <v>2026</v>
      </c>
    </row>
    <row r="9" spans="1:23" x14ac:dyDescent="0.25">
      <c r="A9" s="17">
        <v>46044</v>
      </c>
      <c r="B9" s="5" t="s">
        <v>8</v>
      </c>
      <c r="C9" s="55">
        <v>-55.9</v>
      </c>
      <c r="D9" s="6" t="s">
        <v>22</v>
      </c>
      <c r="E9" s="21" t="str">
        <f t="shared" si="0"/>
        <v>Saída</v>
      </c>
      <c r="F9" s="21" t="str">
        <f t="shared" si="1"/>
        <v>Lazer/Assinaturas</v>
      </c>
      <c r="G9" s="60">
        <f>SUM($C$5:C9)</f>
        <v>4608.05</v>
      </c>
      <c r="H9" s="19" t="str">
        <f t="shared" si="2"/>
        <v>JAN/2026</v>
      </c>
      <c r="I9" s="19">
        <f>MONTH(ContaCorrente[[#This Row],[Data]])</f>
        <v>1</v>
      </c>
      <c r="J9" s="19">
        <f>YEAR(ContaCorrente[[#This Row],[Data]])</f>
        <v>2026</v>
      </c>
      <c r="L9" s="16">
        <v>46042</v>
      </c>
      <c r="M9" s="7" t="s">
        <v>41</v>
      </c>
      <c r="N9" s="54">
        <v>-14.9</v>
      </c>
      <c r="O9" s="20">
        <f>IF(R9="Assinatura",COUNTIF($B$7:M9,M9),IF(R9="Compra à vista","1/1",COUNTIF($B$7:M9,M9)&amp;"/"&amp;P9))</f>
        <v>1</v>
      </c>
      <c r="P9" s="46">
        <v>3</v>
      </c>
      <c r="Q9" s="44" t="str">
        <f>Tabela3789[[#This Row],[Mês Seguinte]]&amp;"/"&amp;Tabela3789[[#This Row],[Ano]]</f>
        <v>FEV/2026</v>
      </c>
      <c r="R9" s="20" t="s">
        <v>42</v>
      </c>
      <c r="S9" s="20" t="s">
        <v>43</v>
      </c>
      <c r="T9" s="33" t="s">
        <v>44</v>
      </c>
      <c r="U9" s="40" t="str">
        <f>UPPER(TEXT(EDATE(Tabela3789[[#This Row],[Data]],1),"MMM"))</f>
        <v>FEV</v>
      </c>
      <c r="V9" s="40">
        <f>MONTH(Tabela3789[[#This Row],[Data]])</f>
        <v>1</v>
      </c>
      <c r="W9" s="40">
        <f>YEAR(Tabela3789[[#This Row],[Data]])</f>
        <v>2026</v>
      </c>
    </row>
    <row r="10" spans="1:23" x14ac:dyDescent="0.25">
      <c r="A10" s="16">
        <v>46047</v>
      </c>
      <c r="B10" s="7" t="s">
        <v>9</v>
      </c>
      <c r="C10" s="54">
        <v>-350</v>
      </c>
      <c r="D10" s="8" t="s">
        <v>23</v>
      </c>
      <c r="E10" s="20" t="str">
        <f t="shared" si="0"/>
        <v>Saída</v>
      </c>
      <c r="F10" s="20" t="str">
        <f t="shared" si="1"/>
        <v>Transferências</v>
      </c>
      <c r="G10" s="59">
        <f>SUM($C$5:C10)</f>
        <v>4258.05</v>
      </c>
      <c r="H10" s="20" t="str">
        <f t="shared" si="2"/>
        <v>JAN/2026</v>
      </c>
      <c r="I10" s="20">
        <f>MONTH(ContaCorrente[[#This Row],[Data]])</f>
        <v>1</v>
      </c>
      <c r="J10" s="20">
        <f>YEAR(ContaCorrente[[#This Row],[Data]])</f>
        <v>2026</v>
      </c>
      <c r="L10" s="17">
        <v>46047</v>
      </c>
      <c r="M10" s="5" t="s">
        <v>8</v>
      </c>
      <c r="N10" s="55">
        <v>-55.9</v>
      </c>
      <c r="O10" s="21">
        <f>IF(R10="Assinatura",COUNTIF($B$7:M10,M10),IF(R10="Compra à vista","1/1",COUNTIF($B$7:M10,M10)&amp;"/"&amp;P10))</f>
        <v>2</v>
      </c>
      <c r="P10" s="45">
        <v>3</v>
      </c>
      <c r="Q10" s="45" t="str">
        <f>Tabela3789[[#This Row],[Mês Seguinte]]&amp;"/"&amp;Tabela3789[[#This Row],[Ano]]</f>
        <v>FEV/2026</v>
      </c>
      <c r="R10" s="21" t="s">
        <v>42</v>
      </c>
      <c r="S10" s="21" t="s">
        <v>43</v>
      </c>
      <c r="T10" s="34" t="s">
        <v>44</v>
      </c>
      <c r="U10" s="34" t="str">
        <f>UPPER(TEXT(EDATE(Tabela3789[[#This Row],[Data]],1),"MMM"))</f>
        <v>FEV</v>
      </c>
      <c r="V10" s="34">
        <f>MONTH(Tabela3789[[#This Row],[Data]])</f>
        <v>1</v>
      </c>
      <c r="W10" s="34">
        <f>YEAR(Tabela3789[[#This Row],[Data]])</f>
        <v>2026</v>
      </c>
    </row>
    <row r="11" spans="1:23" x14ac:dyDescent="0.25">
      <c r="A11" s="17">
        <v>46058</v>
      </c>
      <c r="B11" s="5" t="s">
        <v>10</v>
      </c>
      <c r="C11" s="55">
        <v>-520.4</v>
      </c>
      <c r="D11" s="6" t="s">
        <v>19</v>
      </c>
      <c r="E11" s="21" t="str">
        <f t="shared" si="0"/>
        <v>Saída</v>
      </c>
      <c r="F11" s="21" t="str">
        <f t="shared" si="1"/>
        <v>Alimentação</v>
      </c>
      <c r="G11" s="60">
        <f>SUM($C$5:C11)</f>
        <v>3737.65</v>
      </c>
      <c r="H11" s="19" t="str">
        <f t="shared" si="2"/>
        <v>FEV/2026</v>
      </c>
      <c r="I11" s="19">
        <f>MONTH(ContaCorrente[[#This Row],[Data]])</f>
        <v>2</v>
      </c>
      <c r="J11" s="19">
        <f>YEAR(ContaCorrente[[#This Row],[Data]])</f>
        <v>2026</v>
      </c>
      <c r="L11" s="16">
        <v>46050</v>
      </c>
      <c r="M11" s="7" t="s">
        <v>26</v>
      </c>
      <c r="N11" s="54">
        <v>-21.9</v>
      </c>
      <c r="O11" s="20">
        <f>IF(R11="Assinatura",COUNTIF($B$7:M11,M11),IF(R11="Compra à vista","1/1",COUNTIF($B$7:M11,M11)&amp;"/"&amp;P11))</f>
        <v>1</v>
      </c>
      <c r="P11" s="46">
        <v>3</v>
      </c>
      <c r="Q11" s="44" t="str">
        <f>Tabela3789[[#This Row],[Mês Seguinte]]&amp;"/"&amp;Tabela3789[[#This Row],[Ano]]</f>
        <v>FEV/2026</v>
      </c>
      <c r="R11" s="20" t="s">
        <v>42</v>
      </c>
      <c r="S11" s="20" t="s">
        <v>43</v>
      </c>
      <c r="T11" s="33" t="s">
        <v>44</v>
      </c>
      <c r="U11" s="40" t="str">
        <f>UPPER(TEXT(EDATE(Tabela3789[[#This Row],[Data]],1),"MMM"))</f>
        <v>FEV</v>
      </c>
      <c r="V11" s="40">
        <f>MONTH(Tabela3789[[#This Row],[Data]])</f>
        <v>1</v>
      </c>
      <c r="W11" s="40">
        <f>YEAR(Tabela3789[[#This Row],[Data]])</f>
        <v>2026</v>
      </c>
    </row>
    <row r="12" spans="1:23" x14ac:dyDescent="0.25">
      <c r="A12" s="16">
        <v>46063</v>
      </c>
      <c r="B12" s="7" t="s">
        <v>5</v>
      </c>
      <c r="C12" s="54">
        <v>5500</v>
      </c>
      <c r="D12" s="8" t="s">
        <v>20</v>
      </c>
      <c r="E12" s="20" t="str">
        <f t="shared" si="0"/>
        <v>Entrada</v>
      </c>
      <c r="F12" s="20" t="str">
        <f t="shared" si="1"/>
        <v>Receitas</v>
      </c>
      <c r="G12" s="59">
        <f>SUM($C$5:C12)</f>
        <v>9237.65</v>
      </c>
      <c r="H12" s="20" t="str">
        <f t="shared" si="2"/>
        <v>FEV/2026</v>
      </c>
      <c r="I12" s="20">
        <f>MONTH(ContaCorrente[[#This Row],[Data]])</f>
        <v>2</v>
      </c>
      <c r="J12" s="20">
        <f>YEAR(ContaCorrente[[#This Row],[Data]])</f>
        <v>2026</v>
      </c>
      <c r="L12" s="17">
        <v>46054</v>
      </c>
      <c r="M12" s="5" t="s">
        <v>48</v>
      </c>
      <c r="N12" s="55">
        <v>-156</v>
      </c>
      <c r="O12" s="31" t="str">
        <f>IF(R12="Assinatura",COUNTIF($B$7:M12,M12),IF(R12="Compra à vista","1/1",COUNTIF($B$7:M12,M12)&amp;"/"&amp;P12))</f>
        <v>1/1</v>
      </c>
      <c r="P12" s="45">
        <v>1</v>
      </c>
      <c r="Q12" s="45" t="str">
        <f>Tabela3789[[#This Row],[Mês Seguinte]]&amp;"/"&amp;Tabela3789[[#This Row],[Ano]]</f>
        <v>MAR/2026</v>
      </c>
      <c r="R12" s="21" t="s">
        <v>49</v>
      </c>
      <c r="S12" s="21" t="s">
        <v>50</v>
      </c>
      <c r="T12" s="34" t="s">
        <v>44</v>
      </c>
      <c r="U12" s="34" t="str">
        <f>UPPER(TEXT(EDATE(Tabela3789[[#This Row],[Data]],1),"MMM"))</f>
        <v>MAR</v>
      </c>
      <c r="V12" s="34">
        <f>MONTH(Tabela3789[[#This Row],[Data]])</f>
        <v>2</v>
      </c>
      <c r="W12" s="34">
        <f>YEAR(Tabela3789[[#This Row],[Data]])</f>
        <v>2026</v>
      </c>
    </row>
    <row r="13" spans="1:23" x14ac:dyDescent="0.25">
      <c r="A13" s="17">
        <v>46065</v>
      </c>
      <c r="B13" s="5" t="s">
        <v>11</v>
      </c>
      <c r="C13" s="55">
        <v>-129.9</v>
      </c>
      <c r="D13" s="6" t="s">
        <v>21</v>
      </c>
      <c r="E13" s="21" t="str">
        <f t="shared" si="0"/>
        <v>Saída</v>
      </c>
      <c r="F13" s="21" t="str">
        <f t="shared" si="1"/>
        <v>Moradia</v>
      </c>
      <c r="G13" s="60">
        <f>SUM($C$5:C13)</f>
        <v>9107.75</v>
      </c>
      <c r="H13" s="19" t="str">
        <f t="shared" si="2"/>
        <v>FEV/2026</v>
      </c>
      <c r="I13" s="19">
        <f>MONTH(ContaCorrente[[#This Row],[Data]])</f>
        <v>2</v>
      </c>
      <c r="J13" s="19">
        <f>YEAR(ContaCorrente[[#This Row],[Data]])</f>
        <v>2026</v>
      </c>
      <c r="L13" s="16">
        <v>46058</v>
      </c>
      <c r="M13" s="7" t="s">
        <v>45</v>
      </c>
      <c r="N13" s="54">
        <v>-189.9</v>
      </c>
      <c r="O13" s="32" t="str">
        <f>IF(R13="Assinatura",COUNTIF($B$7:M13,M13),IF(R13="Compra à vista","1/1",COUNTIF($B$7:M13,M13)&amp;"/"&amp;P13))</f>
        <v>1/3</v>
      </c>
      <c r="P13" s="46">
        <v>3</v>
      </c>
      <c r="Q13" s="44" t="str">
        <f>Tabela3789[[#This Row],[Mês Seguinte]]&amp;"/"&amp;Tabela3789[[#This Row],[Ano]]</f>
        <v>MAR/2026</v>
      </c>
      <c r="R13" s="20" t="s">
        <v>46</v>
      </c>
      <c r="S13" s="20" t="s">
        <v>47</v>
      </c>
      <c r="T13" s="33" t="s">
        <v>44</v>
      </c>
      <c r="U13" s="40" t="str">
        <f>UPPER(TEXT(EDATE(Tabela3789[[#This Row],[Data]],1),"MMM"))</f>
        <v>MAR</v>
      </c>
      <c r="V13" s="40">
        <f>MONTH(Tabela3789[[#This Row],[Data]])</f>
        <v>2</v>
      </c>
      <c r="W13" s="40">
        <f>YEAR(Tabela3789[[#This Row],[Data]])</f>
        <v>2026</v>
      </c>
    </row>
    <row r="14" spans="1:23" x14ac:dyDescent="0.25">
      <c r="A14" s="16">
        <v>46068</v>
      </c>
      <c r="B14" s="7" t="s">
        <v>12</v>
      </c>
      <c r="C14" s="54">
        <v>-95.6</v>
      </c>
      <c r="D14" s="8" t="s">
        <v>21</v>
      </c>
      <c r="E14" s="20" t="str">
        <f t="shared" si="0"/>
        <v>Saída</v>
      </c>
      <c r="F14" s="20" t="str">
        <f t="shared" si="1"/>
        <v>Moradia</v>
      </c>
      <c r="G14" s="59">
        <f>SUM($C$5:C14)</f>
        <v>9012.15</v>
      </c>
      <c r="H14" s="20" t="str">
        <f t="shared" si="2"/>
        <v>FEV/2026</v>
      </c>
      <c r="I14" s="20">
        <f>MONTH(ContaCorrente[[#This Row],[Data]])</f>
        <v>2</v>
      </c>
      <c r="J14" s="20">
        <f>YEAR(ContaCorrente[[#This Row],[Data]])</f>
        <v>2026</v>
      </c>
      <c r="L14" s="17">
        <v>46060</v>
      </c>
      <c r="M14" s="5" t="s">
        <v>29</v>
      </c>
      <c r="N14" s="55">
        <v>-89.5</v>
      </c>
      <c r="O14" s="31" t="str">
        <f>IF(R14="Assinatura",COUNTIF($B$7:M14,M14),IF(R14="Compra à vista","1/1",COUNTIF($B$7:M14,M14)&amp;"/"&amp;P14))</f>
        <v>1/1</v>
      </c>
      <c r="P14" s="45">
        <v>1</v>
      </c>
      <c r="Q14" s="45" t="str">
        <f>Tabela3789[[#This Row],[Mês Seguinte]]&amp;"/"&amp;Tabela3789[[#This Row],[Ano]]</f>
        <v>MAR/2026</v>
      </c>
      <c r="R14" s="21" t="s">
        <v>49</v>
      </c>
      <c r="S14" s="21" t="s">
        <v>50</v>
      </c>
      <c r="T14" s="34" t="s">
        <v>44</v>
      </c>
      <c r="U14" s="34" t="str">
        <f>UPPER(TEXT(EDATE(Tabela3789[[#This Row],[Data]],1),"MMM"))</f>
        <v>MAR</v>
      </c>
      <c r="V14" s="34">
        <f>MONTH(Tabela3789[[#This Row],[Data]])</f>
        <v>2</v>
      </c>
      <c r="W14" s="34">
        <f>YEAR(Tabela3789[[#This Row],[Data]])</f>
        <v>2026</v>
      </c>
    </row>
    <row r="15" spans="1:23" x14ac:dyDescent="0.25">
      <c r="A15" s="17">
        <v>46073</v>
      </c>
      <c r="B15" s="5" t="s">
        <v>13</v>
      </c>
      <c r="C15" s="55">
        <v>-78.5</v>
      </c>
      <c r="D15" s="6" t="s">
        <v>19</v>
      </c>
      <c r="E15" s="21" t="str">
        <f t="shared" si="0"/>
        <v>Saída</v>
      </c>
      <c r="F15" s="21" t="str">
        <f t="shared" si="1"/>
        <v>Saúde</v>
      </c>
      <c r="G15" s="60">
        <f>SUM($C$5:C15)</f>
        <v>8933.65</v>
      </c>
      <c r="H15" s="19" t="str">
        <f t="shared" si="2"/>
        <v>FEV/2026</v>
      </c>
      <c r="I15" s="19">
        <f>MONTH(ContaCorrente[[#This Row],[Data]])</f>
        <v>2</v>
      </c>
      <c r="J15" s="19">
        <f>YEAR(ContaCorrente[[#This Row],[Data]])</f>
        <v>2026</v>
      </c>
      <c r="L15" s="16">
        <v>46063</v>
      </c>
      <c r="M15" s="7" t="s">
        <v>51</v>
      </c>
      <c r="N15" s="54">
        <v>-89.97</v>
      </c>
      <c r="O15" s="32" t="str">
        <f>IF(R15="Assinatura",COUNTIF($B$7:M15,M15),IF(R15="Compra à vista","1/1",COUNTIF($B$7:M15,M15)&amp;"/"&amp;P15))</f>
        <v>1/10</v>
      </c>
      <c r="P15" s="46">
        <v>10</v>
      </c>
      <c r="Q15" s="44" t="str">
        <f>Tabela3789[[#This Row],[Mês Seguinte]]&amp;"/"&amp;Tabela3789[[#This Row],[Ano]]</f>
        <v>MAR/2026</v>
      </c>
      <c r="R15" s="20" t="s">
        <v>46</v>
      </c>
      <c r="S15" s="20" t="s">
        <v>52</v>
      </c>
      <c r="T15" s="33" t="s">
        <v>44</v>
      </c>
      <c r="U15" s="40" t="str">
        <f>UPPER(TEXT(EDATE(Tabela3789[[#This Row],[Data]],1),"MMM"))</f>
        <v>MAR</v>
      </c>
      <c r="V15" s="40">
        <f>MONTH(Tabela3789[[#This Row],[Data]])</f>
        <v>2</v>
      </c>
      <c r="W15" s="40">
        <f>YEAR(Tabela3789[[#This Row],[Data]])</f>
        <v>2026</v>
      </c>
    </row>
    <row r="16" spans="1:23" x14ac:dyDescent="0.25">
      <c r="A16" s="16">
        <v>46081</v>
      </c>
      <c r="B16" s="7" t="s">
        <v>14</v>
      </c>
      <c r="C16" s="54">
        <v>-1200</v>
      </c>
      <c r="D16" s="8" t="s">
        <v>23</v>
      </c>
      <c r="E16" s="20" t="str">
        <f t="shared" si="0"/>
        <v>Saída</v>
      </c>
      <c r="F16" s="20" t="str">
        <f t="shared" si="1"/>
        <v>Transferências</v>
      </c>
      <c r="G16" s="59">
        <f>SUM($C$5:C16)</f>
        <v>7733.65</v>
      </c>
      <c r="H16" s="20" t="str">
        <f t="shared" si="2"/>
        <v>FEV/2026</v>
      </c>
      <c r="I16" s="20">
        <f>MONTH(ContaCorrente[[#This Row],[Data]])</f>
        <v>2</v>
      </c>
      <c r="J16" s="20">
        <f>YEAR(ContaCorrente[[#This Row],[Data]])</f>
        <v>2026</v>
      </c>
      <c r="L16" s="17">
        <v>46067</v>
      </c>
      <c r="M16" s="5" t="s">
        <v>57</v>
      </c>
      <c r="N16" s="55">
        <v>-300</v>
      </c>
      <c r="O16" s="31" t="str">
        <f>IF(R16="Assinatura",COUNTIF($B$7:M16,M16),IF(R16="Compra à vista","1/1",COUNTIF($B$7:M16,M16)&amp;"/"&amp;P16))</f>
        <v>1/4</v>
      </c>
      <c r="P16" s="45">
        <v>4</v>
      </c>
      <c r="Q16" s="45" t="str">
        <f>Tabela3789[[#This Row],[Mês Seguinte]]&amp;"/"&amp;Tabela3789[[#This Row],[Ano]]</f>
        <v>MAR/2026</v>
      </c>
      <c r="R16" s="21" t="s">
        <v>46</v>
      </c>
      <c r="S16" s="21" t="s">
        <v>58</v>
      </c>
      <c r="T16" s="34" t="s">
        <v>44</v>
      </c>
      <c r="U16" s="34" t="str">
        <f>UPPER(TEXT(EDATE(Tabela3789[[#This Row],[Data]],1),"MMM"))</f>
        <v>MAR</v>
      </c>
      <c r="V16" s="34">
        <f>MONTH(Tabela3789[[#This Row],[Data]])</f>
        <v>2</v>
      </c>
      <c r="W16" s="34">
        <f>YEAR(Tabela3789[[#This Row],[Data]])</f>
        <v>2026</v>
      </c>
    </row>
    <row r="17" spans="1:23" x14ac:dyDescent="0.25">
      <c r="A17" s="17">
        <v>46086</v>
      </c>
      <c r="B17" s="5" t="s">
        <v>15</v>
      </c>
      <c r="C17" s="55">
        <v>-480.25</v>
      </c>
      <c r="D17" s="6" t="s">
        <v>19</v>
      </c>
      <c r="E17" s="21" t="str">
        <f t="shared" si="0"/>
        <v>Saída</v>
      </c>
      <c r="F17" s="21" t="str">
        <f t="shared" si="1"/>
        <v>Alimentação</v>
      </c>
      <c r="G17" s="60">
        <f>SUM($C$5:C17)</f>
        <v>7253.4</v>
      </c>
      <c r="H17" s="19" t="str">
        <f t="shared" si="2"/>
        <v>MAR/2026</v>
      </c>
      <c r="I17" s="19">
        <f>MONTH(ContaCorrente[[#This Row],[Data]])</f>
        <v>3</v>
      </c>
      <c r="J17" s="19">
        <f>YEAR(ContaCorrente[[#This Row],[Data]])</f>
        <v>2026</v>
      </c>
      <c r="L17" s="16">
        <v>46073</v>
      </c>
      <c r="M17" s="7" t="s">
        <v>41</v>
      </c>
      <c r="N17" s="54">
        <v>-14.9</v>
      </c>
      <c r="O17" s="20">
        <f>IF(R17="Assinatura",COUNTIF($B$7:M17,M17),IF(R17="Compra à vista","1/1",COUNTIF($B$7:M17,M17)&amp;"/"&amp;P17))</f>
        <v>2</v>
      </c>
      <c r="P17" s="46">
        <v>3</v>
      </c>
      <c r="Q17" s="44" t="str">
        <f>Tabela3789[[#This Row],[Mês Seguinte]]&amp;"/"&amp;Tabela3789[[#This Row],[Ano]]</f>
        <v>MAR/2026</v>
      </c>
      <c r="R17" s="20" t="s">
        <v>42</v>
      </c>
      <c r="S17" s="20" t="s">
        <v>43</v>
      </c>
      <c r="T17" s="33" t="s">
        <v>44</v>
      </c>
      <c r="U17" s="40" t="str">
        <f>UPPER(TEXT(EDATE(Tabela3789[[#This Row],[Data]],1),"MMM"))</f>
        <v>MAR</v>
      </c>
      <c r="V17" s="40">
        <f>MONTH(Tabela3789[[#This Row],[Data]])</f>
        <v>2</v>
      </c>
      <c r="W17" s="40">
        <f>YEAR(Tabela3789[[#This Row],[Data]])</f>
        <v>2026</v>
      </c>
    </row>
    <row r="18" spans="1:23" x14ac:dyDescent="0.25">
      <c r="A18" s="16">
        <v>46091</v>
      </c>
      <c r="B18" s="7" t="s">
        <v>5</v>
      </c>
      <c r="C18" s="54">
        <v>5500</v>
      </c>
      <c r="D18" s="8" t="s">
        <v>20</v>
      </c>
      <c r="E18" s="20" t="str">
        <f t="shared" si="0"/>
        <v>Entrada</v>
      </c>
      <c r="F18" s="20" t="str">
        <f t="shared" si="1"/>
        <v>Receitas</v>
      </c>
      <c r="G18" s="59">
        <f>SUM($C$5:C18)</f>
        <v>12753.4</v>
      </c>
      <c r="H18" s="20" t="str">
        <f t="shared" si="2"/>
        <v>MAR/2026</v>
      </c>
      <c r="I18" s="20">
        <f>MONTH(ContaCorrente[[#This Row],[Data]])</f>
        <v>3</v>
      </c>
      <c r="J18" s="20">
        <f>YEAR(ContaCorrente[[#This Row],[Data]])</f>
        <v>2026</v>
      </c>
      <c r="L18" s="17">
        <v>46073</v>
      </c>
      <c r="M18" s="5" t="s">
        <v>8</v>
      </c>
      <c r="N18" s="55">
        <v>-55.9</v>
      </c>
      <c r="O18" s="21">
        <f>IF(R18="Assinatura",COUNTIF($B$7:M18,M18),IF(R18="Compra à vista","1/1",COUNTIF($B$7:M18,M18)&amp;"/"&amp;P18))</f>
        <v>3</v>
      </c>
      <c r="P18" s="45">
        <v>3</v>
      </c>
      <c r="Q18" s="45" t="str">
        <f>Tabela3789[[#This Row],[Mês Seguinte]]&amp;"/"&amp;Tabela3789[[#This Row],[Ano]]</f>
        <v>MAR/2026</v>
      </c>
      <c r="R18" s="21" t="s">
        <v>42</v>
      </c>
      <c r="S18" s="21" t="s">
        <v>43</v>
      </c>
      <c r="T18" s="34" t="s">
        <v>44</v>
      </c>
      <c r="U18" s="34" t="str">
        <f>UPPER(TEXT(EDATE(Tabela3789[[#This Row],[Data]],1),"MMM"))</f>
        <v>MAR</v>
      </c>
      <c r="V18" s="34">
        <f>MONTH(Tabela3789[[#This Row],[Data]])</f>
        <v>2</v>
      </c>
      <c r="W18" s="34">
        <f>YEAR(Tabela3789[[#This Row],[Data]])</f>
        <v>2026</v>
      </c>
    </row>
    <row r="19" spans="1:23" x14ac:dyDescent="0.25">
      <c r="A19" s="17">
        <v>46096</v>
      </c>
      <c r="B19" s="5" t="s">
        <v>16</v>
      </c>
      <c r="C19" s="55">
        <v>-1800</v>
      </c>
      <c r="D19" s="6" t="s">
        <v>21</v>
      </c>
      <c r="E19" s="21" t="str">
        <f t="shared" si="0"/>
        <v>Saída</v>
      </c>
      <c r="F19" s="21" t="str">
        <f t="shared" si="1"/>
        <v>Moradia</v>
      </c>
      <c r="G19" s="60">
        <f>SUM($C$5:C19)</f>
        <v>10953.4</v>
      </c>
      <c r="H19" s="19" t="str">
        <f t="shared" si="2"/>
        <v>MAR/2026</v>
      </c>
      <c r="I19" s="19">
        <f>MONTH(ContaCorrente[[#This Row],[Data]])</f>
        <v>3</v>
      </c>
      <c r="J19" s="19">
        <f>YEAR(ContaCorrente[[#This Row],[Data]])</f>
        <v>2026</v>
      </c>
      <c r="L19" s="16">
        <v>46073</v>
      </c>
      <c r="M19" s="7" t="s">
        <v>26</v>
      </c>
      <c r="N19" s="54">
        <v>-21.9</v>
      </c>
      <c r="O19" s="20">
        <f>IF(R19="Assinatura",COUNTIF($B$7:M19,M19),IF(R19="Compra à vista","1/1",COUNTIF($B$7:M19,M19)&amp;"/"&amp;P19))</f>
        <v>2</v>
      </c>
      <c r="P19" s="46">
        <v>3</v>
      </c>
      <c r="Q19" s="44" t="str">
        <f>Tabela3789[[#This Row],[Mês Seguinte]]&amp;"/"&amp;Tabela3789[[#This Row],[Ano]]</f>
        <v>MAR/2026</v>
      </c>
      <c r="R19" s="20" t="s">
        <v>42</v>
      </c>
      <c r="S19" s="20" t="s">
        <v>43</v>
      </c>
      <c r="T19" s="33" t="s">
        <v>44</v>
      </c>
      <c r="U19" s="40" t="str">
        <f>UPPER(TEXT(EDATE(Tabela3789[[#This Row],[Data]],1),"MMM"))</f>
        <v>MAR</v>
      </c>
      <c r="V19" s="40">
        <f>MONTH(Tabela3789[[#This Row],[Data]])</f>
        <v>2</v>
      </c>
      <c r="W19" s="40">
        <f>YEAR(Tabela3789[[#This Row],[Data]])</f>
        <v>2026</v>
      </c>
    </row>
    <row r="20" spans="1:23" x14ac:dyDescent="0.25">
      <c r="A20" s="16">
        <v>46096</v>
      </c>
      <c r="B20" s="7" t="s">
        <v>24</v>
      </c>
      <c r="C20" s="54">
        <v>-189.9</v>
      </c>
      <c r="D20" s="8" t="s">
        <v>19</v>
      </c>
      <c r="E20" s="20" t="str">
        <f t="shared" si="0"/>
        <v>Saída</v>
      </c>
      <c r="F20" s="20" t="str">
        <f t="shared" si="1"/>
        <v>Alimentação</v>
      </c>
      <c r="G20" s="59">
        <f>SUM($C$5:C20)</f>
        <v>10763.5</v>
      </c>
      <c r="H20" s="20" t="str">
        <f t="shared" si="2"/>
        <v>MAR/2026</v>
      </c>
      <c r="I20" s="20">
        <f>MONTH(ContaCorrente[[#This Row],[Data]])</f>
        <v>3</v>
      </c>
      <c r="J20" s="20">
        <f>YEAR(ContaCorrente[[#This Row],[Data]])</f>
        <v>2026</v>
      </c>
      <c r="L20" s="17">
        <v>46073</v>
      </c>
      <c r="M20" s="5" t="s">
        <v>59</v>
      </c>
      <c r="N20" s="55">
        <v>-160</v>
      </c>
      <c r="O20" s="31" t="str">
        <f>IF(R20="Assinatura",COUNTIF($B$7:M20,M20),IF(R20="Compra à vista","1/1",COUNTIF($B$7:M20,M20)&amp;"/"&amp;P20))</f>
        <v>1/2</v>
      </c>
      <c r="P20" s="45">
        <v>2</v>
      </c>
      <c r="Q20" s="45" t="str">
        <f>Tabela3789[[#This Row],[Mês Seguinte]]&amp;"/"&amp;Tabela3789[[#This Row],[Ano]]</f>
        <v>MAR/2026</v>
      </c>
      <c r="R20" s="21" t="s">
        <v>46</v>
      </c>
      <c r="S20" s="21" t="s">
        <v>60</v>
      </c>
      <c r="T20" s="34" t="s">
        <v>44</v>
      </c>
      <c r="U20" s="34" t="str">
        <f>UPPER(TEXT(EDATE(Tabela3789[[#This Row],[Data]],1),"MMM"))</f>
        <v>MAR</v>
      </c>
      <c r="V20" s="34">
        <f>MONTH(Tabela3789[[#This Row],[Data]])</f>
        <v>2</v>
      </c>
      <c r="W20" s="34">
        <f>YEAR(Tabela3789[[#This Row],[Data]])</f>
        <v>2026</v>
      </c>
    </row>
    <row r="21" spans="1:23" x14ac:dyDescent="0.25">
      <c r="A21" s="17">
        <v>46097</v>
      </c>
      <c r="B21" s="5" t="s">
        <v>25</v>
      </c>
      <c r="C21" s="55">
        <v>-32.5</v>
      </c>
      <c r="D21" s="6" t="s">
        <v>19</v>
      </c>
      <c r="E21" s="21" t="str">
        <f t="shared" si="0"/>
        <v>Saída</v>
      </c>
      <c r="F21" s="21" t="str">
        <f t="shared" si="1"/>
        <v>Transporte</v>
      </c>
      <c r="G21" s="60">
        <f>SUM($C$5:C21)</f>
        <v>10731</v>
      </c>
      <c r="H21" s="19" t="str">
        <f t="shared" si="2"/>
        <v>MAR/2026</v>
      </c>
      <c r="I21" s="19">
        <f>MONTH(ContaCorrente[[#This Row],[Data]])</f>
        <v>3</v>
      </c>
      <c r="J21" s="19">
        <f>YEAR(ContaCorrente[[#This Row],[Data]])</f>
        <v>2026</v>
      </c>
      <c r="L21" s="16">
        <v>46086</v>
      </c>
      <c r="M21" s="7" t="s">
        <v>45</v>
      </c>
      <c r="N21" s="54">
        <v>-189.9</v>
      </c>
      <c r="O21" s="32" t="str">
        <f>IF(R21="Assinatura",COUNTIF($B$7:M21,M21),IF(R21="Compra à vista","1/1",COUNTIF($B$7:M21,M21)&amp;"/"&amp;P21))</f>
        <v>2/3</v>
      </c>
      <c r="P21" s="46">
        <v>3</v>
      </c>
      <c r="Q21" s="44" t="str">
        <f>Tabela3789[[#This Row],[Mês Seguinte]]&amp;"/"&amp;Tabela3789[[#This Row],[Ano]]</f>
        <v>ABR/2026</v>
      </c>
      <c r="R21" s="20" t="s">
        <v>46</v>
      </c>
      <c r="S21" s="20" t="s">
        <v>47</v>
      </c>
      <c r="T21" s="33" t="s">
        <v>61</v>
      </c>
      <c r="U21" s="40" t="str">
        <f>UPPER(TEXT(EDATE(Tabela3789[[#This Row],[Data]],1),"MMM"))</f>
        <v>ABR</v>
      </c>
      <c r="V21" s="40">
        <f>MONTH(Tabela3789[[#This Row],[Data]])</f>
        <v>3</v>
      </c>
      <c r="W21" s="40">
        <f>YEAR(Tabela3789[[#This Row],[Data]])</f>
        <v>2026</v>
      </c>
    </row>
    <row r="22" spans="1:23" x14ac:dyDescent="0.25">
      <c r="A22" s="16">
        <v>46098</v>
      </c>
      <c r="B22" s="7" t="s">
        <v>26</v>
      </c>
      <c r="C22" s="54">
        <v>-21.9</v>
      </c>
      <c r="D22" s="8" t="s">
        <v>22</v>
      </c>
      <c r="E22" s="20" t="str">
        <f t="shared" si="0"/>
        <v>Saída</v>
      </c>
      <c r="F22" s="20" t="str">
        <f t="shared" si="1"/>
        <v>Lazer/Assinaturas</v>
      </c>
      <c r="G22" s="59">
        <f>SUM($C$5:C22)</f>
        <v>10709.1</v>
      </c>
      <c r="H22" s="20" t="str">
        <f t="shared" si="2"/>
        <v>MAR/2026</v>
      </c>
      <c r="I22" s="20">
        <f>MONTH(ContaCorrente[[#This Row],[Data]])</f>
        <v>3</v>
      </c>
      <c r="J22" s="20">
        <f>YEAR(ContaCorrente[[#This Row],[Data]])</f>
        <v>2026</v>
      </c>
      <c r="L22" s="17">
        <v>46089</v>
      </c>
      <c r="M22" s="5" t="s">
        <v>62</v>
      </c>
      <c r="N22" s="55">
        <v>-67.900000000000006</v>
      </c>
      <c r="O22" s="31" t="str">
        <f>IF(R22="Assinatura",COUNTIF($B$7:M22,M22),IF(R22="Compra à vista","1/1",COUNTIF($B$7:M22,M22)&amp;"/"&amp;P22))</f>
        <v>1/1</v>
      </c>
      <c r="P22" s="45">
        <v>1</v>
      </c>
      <c r="Q22" s="45" t="str">
        <f>Tabela3789[[#This Row],[Mês Seguinte]]&amp;"/"&amp;Tabela3789[[#This Row],[Ano]]</f>
        <v>ABR/2026</v>
      </c>
      <c r="R22" s="21" t="s">
        <v>49</v>
      </c>
      <c r="S22" s="21" t="s">
        <v>50</v>
      </c>
      <c r="T22" s="34" t="s">
        <v>61</v>
      </c>
      <c r="U22" s="34" t="str">
        <f>UPPER(TEXT(EDATE(Tabela3789[[#This Row],[Data]],1),"MMM"))</f>
        <v>ABR</v>
      </c>
      <c r="V22" s="34">
        <f>MONTH(Tabela3789[[#This Row],[Data]])</f>
        <v>3</v>
      </c>
      <c r="W22" s="34">
        <f>YEAR(Tabela3789[[#This Row],[Data]])</f>
        <v>2026</v>
      </c>
    </row>
    <row r="23" spans="1:23" x14ac:dyDescent="0.25">
      <c r="A23" s="17">
        <v>46098</v>
      </c>
      <c r="B23" s="5" t="s">
        <v>27</v>
      </c>
      <c r="C23" s="55">
        <v>800</v>
      </c>
      <c r="D23" s="6" t="s">
        <v>28</v>
      </c>
      <c r="E23" s="21" t="str">
        <f t="shared" si="0"/>
        <v>Entrada</v>
      </c>
      <c r="F23" s="21" t="str">
        <f t="shared" si="1"/>
        <v>Receitas</v>
      </c>
      <c r="G23" s="60">
        <f>SUM($C$5:C23)</f>
        <v>11509.1</v>
      </c>
      <c r="H23" s="19" t="str">
        <f t="shared" si="2"/>
        <v>MAR/2026</v>
      </c>
      <c r="I23" s="19">
        <f>MONTH(ContaCorrente[[#This Row],[Data]])</f>
        <v>3</v>
      </c>
      <c r="J23" s="19">
        <f>YEAR(ContaCorrente[[#This Row],[Data]])</f>
        <v>2026</v>
      </c>
      <c r="L23" s="16">
        <v>46091</v>
      </c>
      <c r="M23" s="7" t="s">
        <v>51</v>
      </c>
      <c r="N23" s="54">
        <v>-89.97</v>
      </c>
      <c r="O23" s="32" t="str">
        <f>IF(R23="Assinatura",COUNTIF($B$7:M23,M23),IF(R23="Compra à vista","1/1",COUNTIF($B$7:M23,M23)&amp;"/"&amp;P23))</f>
        <v>2/10</v>
      </c>
      <c r="P23" s="46">
        <v>10</v>
      </c>
      <c r="Q23" s="44" t="str">
        <f>Tabela3789[[#This Row],[Mês Seguinte]]&amp;"/"&amp;Tabela3789[[#This Row],[Ano]]</f>
        <v>ABR/2026</v>
      </c>
      <c r="R23" s="20" t="s">
        <v>46</v>
      </c>
      <c r="S23" s="20" t="s">
        <v>52</v>
      </c>
      <c r="T23" s="33" t="s">
        <v>61</v>
      </c>
      <c r="U23" s="40" t="str">
        <f>UPPER(TEXT(EDATE(Tabela3789[[#This Row],[Data]],1),"MMM"))</f>
        <v>ABR</v>
      </c>
      <c r="V23" s="40">
        <f>MONTH(Tabela3789[[#This Row],[Data]])</f>
        <v>3</v>
      </c>
      <c r="W23" s="40">
        <f>YEAR(Tabela3789[[#This Row],[Data]])</f>
        <v>2026</v>
      </c>
    </row>
    <row r="24" spans="1:23" x14ac:dyDescent="0.25">
      <c r="A24" s="16">
        <v>46099</v>
      </c>
      <c r="B24" s="7" t="s">
        <v>29</v>
      </c>
      <c r="C24" s="54">
        <v>-67.8</v>
      </c>
      <c r="D24" s="8" t="s">
        <v>19</v>
      </c>
      <c r="E24" s="20" t="str">
        <f t="shared" si="0"/>
        <v>Saída</v>
      </c>
      <c r="F24" s="20" t="str">
        <f t="shared" si="1"/>
        <v>Alimentação</v>
      </c>
      <c r="G24" s="59">
        <f>SUM($C$5:C24)</f>
        <v>11441.300000000001</v>
      </c>
      <c r="H24" s="20" t="str">
        <f t="shared" si="2"/>
        <v>MAR/2026</v>
      </c>
      <c r="I24" s="20">
        <f>MONTH(ContaCorrente[[#This Row],[Data]])</f>
        <v>3</v>
      </c>
      <c r="J24" s="20">
        <f>YEAR(ContaCorrente[[#This Row],[Data]])</f>
        <v>2026</v>
      </c>
      <c r="L24" s="17">
        <v>46095</v>
      </c>
      <c r="M24" s="5" t="s">
        <v>57</v>
      </c>
      <c r="N24" s="55">
        <v>-300</v>
      </c>
      <c r="O24" s="31" t="str">
        <f>IF(R24="Assinatura",COUNTIF($B$7:M24,M24),IF(R24="Compra à vista","1/1",COUNTIF($B$7:M24,M24)&amp;"/"&amp;P24))</f>
        <v>2/4</v>
      </c>
      <c r="P24" s="45">
        <v>4</v>
      </c>
      <c r="Q24" s="45" t="str">
        <f>Tabela3789[[#This Row],[Mês Seguinte]]&amp;"/"&amp;Tabela3789[[#This Row],[Ano]]</f>
        <v>ABR/2026</v>
      </c>
      <c r="R24" s="21" t="s">
        <v>46</v>
      </c>
      <c r="S24" s="21" t="s">
        <v>58</v>
      </c>
      <c r="T24" s="34" t="s">
        <v>61</v>
      </c>
      <c r="U24" s="34" t="str">
        <f>UPPER(TEXT(EDATE(Tabela3789[[#This Row],[Data]],1),"MMM"))</f>
        <v>ABR</v>
      </c>
      <c r="V24" s="34">
        <f>MONTH(Tabela3789[[#This Row],[Data]])</f>
        <v>3</v>
      </c>
      <c r="W24" s="34">
        <f>YEAR(Tabela3789[[#This Row],[Data]])</f>
        <v>2026</v>
      </c>
    </row>
    <row r="25" spans="1:23" x14ac:dyDescent="0.25">
      <c r="A25" s="17">
        <v>46099</v>
      </c>
      <c r="B25" s="5" t="s">
        <v>30</v>
      </c>
      <c r="C25" s="55">
        <v>-245</v>
      </c>
      <c r="D25" s="6" t="s">
        <v>19</v>
      </c>
      <c r="E25" s="21" t="str">
        <f t="shared" si="0"/>
        <v>Saída</v>
      </c>
      <c r="F25" s="21" t="str">
        <f t="shared" si="1"/>
        <v>Compras Online</v>
      </c>
      <c r="G25" s="60">
        <f>SUM($C$5:C25)</f>
        <v>11196.300000000001</v>
      </c>
      <c r="H25" s="19" t="str">
        <f t="shared" si="2"/>
        <v>MAR/2026</v>
      </c>
      <c r="I25" s="19">
        <f>MONTH(ContaCorrente[[#This Row],[Data]])</f>
        <v>3</v>
      </c>
      <c r="J25" s="19">
        <f>YEAR(ContaCorrente[[#This Row],[Data]])</f>
        <v>2026</v>
      </c>
      <c r="L25" s="16">
        <v>46099</v>
      </c>
      <c r="M25" s="7" t="s">
        <v>63</v>
      </c>
      <c r="N25" s="54">
        <v>-245</v>
      </c>
      <c r="O25" s="32" t="str">
        <f>IF(R25="Assinatura",COUNTIF($B$7:M25,M25),IF(R25="Compra à vista","1/1",COUNTIF($B$7:M25,M25)&amp;"/"&amp;P25))</f>
        <v>1/1</v>
      </c>
      <c r="P25" s="46">
        <v>1</v>
      </c>
      <c r="Q25" s="44" t="str">
        <f>Tabela3789[[#This Row],[Mês Seguinte]]&amp;"/"&amp;Tabela3789[[#This Row],[Ano]]</f>
        <v>ABR/2026</v>
      </c>
      <c r="R25" s="20" t="s">
        <v>49</v>
      </c>
      <c r="S25" s="20" t="s">
        <v>60</v>
      </c>
      <c r="T25" s="33" t="s">
        <v>61</v>
      </c>
      <c r="U25" s="40" t="str">
        <f>UPPER(TEXT(EDATE(Tabela3789[[#This Row],[Data]],1),"MMM"))</f>
        <v>ABR</v>
      </c>
      <c r="V25" s="40">
        <f>MONTH(Tabela3789[[#This Row],[Data]])</f>
        <v>3</v>
      </c>
      <c r="W25" s="40">
        <f>YEAR(Tabela3789[[#This Row],[Data]])</f>
        <v>2026</v>
      </c>
    </row>
    <row r="26" spans="1:23" x14ac:dyDescent="0.25">
      <c r="A26" s="16">
        <v>46122</v>
      </c>
      <c r="B26" s="7" t="s">
        <v>5</v>
      </c>
      <c r="C26" s="54">
        <v>5500</v>
      </c>
      <c r="D26" s="8" t="s">
        <v>20</v>
      </c>
      <c r="E26" s="20" t="str">
        <f t="shared" si="0"/>
        <v>Entrada</v>
      </c>
      <c r="F26" s="20" t="str">
        <f t="shared" si="1"/>
        <v>Receitas</v>
      </c>
      <c r="G26" s="59">
        <f>SUM($C$5:C26)</f>
        <v>16696.300000000003</v>
      </c>
      <c r="H26" s="20" t="str">
        <f t="shared" si="2"/>
        <v>ABR/2026</v>
      </c>
      <c r="I26" s="20">
        <f>MONTH(ContaCorrente[[#This Row],[Data]])</f>
        <v>4</v>
      </c>
      <c r="J26" s="20">
        <f>YEAR(ContaCorrente[[#This Row],[Data]])</f>
        <v>2026</v>
      </c>
      <c r="L26" s="17">
        <v>46101</v>
      </c>
      <c r="M26" s="5" t="s">
        <v>41</v>
      </c>
      <c r="N26" s="55">
        <v>-14.9</v>
      </c>
      <c r="O26" s="21">
        <f>IF(R26="Assinatura",COUNTIF($B$7:M26,M26),IF(R26="Compra à vista","1/1",COUNTIF($B$7:M26,M26)&amp;"/"&amp;P26))</f>
        <v>3</v>
      </c>
      <c r="P26" s="45">
        <v>3</v>
      </c>
      <c r="Q26" s="45" t="str">
        <f>Tabela3789[[#This Row],[Mês Seguinte]]&amp;"/"&amp;Tabela3789[[#This Row],[Ano]]</f>
        <v>ABR/2026</v>
      </c>
      <c r="R26" s="21" t="s">
        <v>42</v>
      </c>
      <c r="S26" s="21" t="s">
        <v>43</v>
      </c>
      <c r="T26" s="34" t="s">
        <v>61</v>
      </c>
      <c r="U26" s="34" t="str">
        <f>UPPER(TEXT(EDATE(Tabela3789[[#This Row],[Data]],1),"MMM"))</f>
        <v>ABR</v>
      </c>
      <c r="V26" s="34">
        <f>MONTH(Tabela3789[[#This Row],[Data]])</f>
        <v>3</v>
      </c>
      <c r="W26" s="34">
        <f>YEAR(Tabela3789[[#This Row],[Data]])</f>
        <v>2026</v>
      </c>
    </row>
    <row r="27" spans="1:23" x14ac:dyDescent="0.25">
      <c r="A27" s="17">
        <v>46124</v>
      </c>
      <c r="B27" s="5" t="s">
        <v>31</v>
      </c>
      <c r="C27" s="55">
        <v>-99.9</v>
      </c>
      <c r="D27" s="6" t="s">
        <v>22</v>
      </c>
      <c r="E27" s="21" t="str">
        <f t="shared" si="0"/>
        <v>Saída</v>
      </c>
      <c r="F27" s="21" t="str">
        <f t="shared" si="1"/>
        <v>Lazer/Assinaturas</v>
      </c>
      <c r="G27" s="60">
        <f>SUM($C$5:C27)</f>
        <v>16596.400000000001</v>
      </c>
      <c r="H27" s="19" t="str">
        <f t="shared" si="2"/>
        <v>ABR/2026</v>
      </c>
      <c r="I27" s="19">
        <f>MONTH(ContaCorrente[[#This Row],[Data]])</f>
        <v>4</v>
      </c>
      <c r="J27" s="19">
        <f>YEAR(ContaCorrente[[#This Row],[Data]])</f>
        <v>2026</v>
      </c>
      <c r="L27" s="16">
        <v>46101</v>
      </c>
      <c r="M27" s="7" t="s">
        <v>8</v>
      </c>
      <c r="N27" s="54">
        <v>-55.9</v>
      </c>
      <c r="O27" s="20">
        <f>IF(R27="Assinatura",COUNTIF($B$7:M27,M27),IF(R27="Compra à vista","1/1",COUNTIF($B$7:M27,M27)&amp;"/"&amp;P27))</f>
        <v>4</v>
      </c>
      <c r="P27" s="46">
        <v>3</v>
      </c>
      <c r="Q27" s="44" t="str">
        <f>Tabela3789[[#This Row],[Mês Seguinte]]&amp;"/"&amp;Tabela3789[[#This Row],[Ano]]</f>
        <v>ABR/2026</v>
      </c>
      <c r="R27" s="20" t="s">
        <v>42</v>
      </c>
      <c r="S27" s="20" t="s">
        <v>43</v>
      </c>
      <c r="T27" s="33" t="s">
        <v>61</v>
      </c>
      <c r="U27" s="40" t="str">
        <f>UPPER(TEXT(EDATE(Tabela3789[[#This Row],[Data]],1),"MMM"))</f>
        <v>ABR</v>
      </c>
      <c r="V27" s="40">
        <f>MONTH(Tabela3789[[#This Row],[Data]])</f>
        <v>3</v>
      </c>
      <c r="W27" s="40">
        <f>YEAR(Tabela3789[[#This Row],[Data]])</f>
        <v>2026</v>
      </c>
    </row>
    <row r="28" spans="1:23" x14ac:dyDescent="0.25">
      <c r="A28" s="23">
        <v>46127</v>
      </c>
      <c r="B28" s="24" t="s">
        <v>6</v>
      </c>
      <c r="C28" s="56">
        <v>-210.45</v>
      </c>
      <c r="D28" s="25" t="s">
        <v>21</v>
      </c>
      <c r="E28" s="26" t="str">
        <f t="shared" si="0"/>
        <v>Saída</v>
      </c>
      <c r="F28" s="26" t="str">
        <f t="shared" si="1"/>
        <v>Moradia</v>
      </c>
      <c r="G28" s="61">
        <f>SUM($C$5:C28)</f>
        <v>16385.95</v>
      </c>
      <c r="H28" s="20" t="str">
        <f t="shared" si="2"/>
        <v>ABR/2026</v>
      </c>
      <c r="I28" s="20">
        <f>MONTH(ContaCorrente[[#This Row],[Data]])</f>
        <v>4</v>
      </c>
      <c r="J28" s="20">
        <f>YEAR(ContaCorrente[[#This Row],[Data]])</f>
        <v>2026</v>
      </c>
      <c r="L28" s="17">
        <v>46101</v>
      </c>
      <c r="M28" s="5" t="s">
        <v>26</v>
      </c>
      <c r="N28" s="55">
        <v>-21.9</v>
      </c>
      <c r="O28" s="21">
        <f>IF(R28="Assinatura",COUNTIF($B$7:M28,M28),IF(R28="Compra à vista","1/1",COUNTIF($B$7:M28,M28)&amp;"/"&amp;P28))</f>
        <v>4</v>
      </c>
      <c r="P28" s="45">
        <v>3</v>
      </c>
      <c r="Q28" s="45" t="str">
        <f>Tabela3789[[#This Row],[Mês Seguinte]]&amp;"/"&amp;Tabela3789[[#This Row],[Ano]]</f>
        <v>ABR/2026</v>
      </c>
      <c r="R28" s="21" t="s">
        <v>42</v>
      </c>
      <c r="S28" s="21" t="s">
        <v>43</v>
      </c>
      <c r="T28" s="34" t="s">
        <v>61</v>
      </c>
      <c r="U28" s="34" t="str">
        <f>UPPER(TEXT(EDATE(Tabela3789[[#This Row],[Data]],1),"MMM"))</f>
        <v>ABR</v>
      </c>
      <c r="V28" s="34">
        <f>MONTH(Tabela3789[[#This Row],[Data]])</f>
        <v>3</v>
      </c>
      <c r="W28" s="34">
        <f>YEAR(Tabela3789[[#This Row],[Data]])</f>
        <v>2026</v>
      </c>
    </row>
    <row r="29" spans="1:23" ht="15.75" thickBot="1" x14ac:dyDescent="0.3">
      <c r="A29" s="27">
        <v>46130</v>
      </c>
      <c r="B29" s="28" t="s">
        <v>32</v>
      </c>
      <c r="C29" s="57">
        <v>-500</v>
      </c>
      <c r="D29" s="29" t="s">
        <v>33</v>
      </c>
      <c r="E29" s="30" t="str">
        <f t="shared" si="0"/>
        <v>Saída</v>
      </c>
      <c r="F29" s="30" t="str">
        <f t="shared" si="1"/>
        <v>Saque</v>
      </c>
      <c r="G29" s="62">
        <f>SUM($C$5:C29)</f>
        <v>15885.95</v>
      </c>
      <c r="H29" s="19" t="str">
        <f t="shared" si="2"/>
        <v>ABR/2026</v>
      </c>
      <c r="I29" s="19">
        <f>MONTH(ContaCorrente[[#This Row],[Data]])</f>
        <v>4</v>
      </c>
      <c r="J29" s="19">
        <f>YEAR(ContaCorrente[[#This Row],[Data]])</f>
        <v>2026</v>
      </c>
      <c r="L29" s="16">
        <v>46101</v>
      </c>
      <c r="M29" s="7" t="s">
        <v>59</v>
      </c>
      <c r="N29" s="54">
        <v>-160</v>
      </c>
      <c r="O29" s="32" t="str">
        <f>IF(R29="Assinatura",COUNTIF($B$7:M29,M29),IF(R29="Compra à vista","1/1",COUNTIF($B$7:M29,M29)&amp;"/"&amp;P29))</f>
        <v>2/2</v>
      </c>
      <c r="P29" s="46">
        <v>2</v>
      </c>
      <c r="Q29" s="44" t="str">
        <f>Tabela3789[[#This Row],[Mês Seguinte]]&amp;"/"&amp;Tabela3789[[#This Row],[Ano]]</f>
        <v>ABR/2026</v>
      </c>
      <c r="R29" s="20" t="s">
        <v>46</v>
      </c>
      <c r="S29" s="20" t="s">
        <v>60</v>
      </c>
      <c r="T29" s="33" t="s">
        <v>61</v>
      </c>
      <c r="U29" s="40" t="str">
        <f>UPPER(TEXT(EDATE(Tabela3789[[#This Row],[Data]],1),"MMM"))</f>
        <v>ABR</v>
      </c>
      <c r="V29" s="40">
        <f>MONTH(Tabela3789[[#This Row],[Data]])</f>
        <v>3</v>
      </c>
      <c r="W29" s="40">
        <f>YEAR(Tabela3789[[#This Row],[Data]])</f>
        <v>2026</v>
      </c>
    </row>
    <row r="30" spans="1:23" ht="15.75" thickTop="1" x14ac:dyDescent="0.25">
      <c r="L30" s="18">
        <v>46103</v>
      </c>
      <c r="M30" s="9" t="s">
        <v>64</v>
      </c>
      <c r="N30" s="64">
        <v>-78</v>
      </c>
      <c r="O30" s="41" t="str">
        <f>IF(R30="Assinatura",COUNTIF($B$7:M30,M30),IF(R30="Compra à vista","1/1",COUNTIF($B$7:M30,M30)&amp;"/"&amp;P30))</f>
        <v>1/1</v>
      </c>
      <c r="P30" s="48">
        <v>1</v>
      </c>
      <c r="Q30" s="45" t="str">
        <f>Tabela3789[[#This Row],[Mês Seguinte]]&amp;"/"&amp;Tabela3789[[#This Row],[Ano]]</f>
        <v>ABR/2026</v>
      </c>
      <c r="R30" s="22" t="s">
        <v>49</v>
      </c>
      <c r="S30" s="22" t="s">
        <v>43</v>
      </c>
      <c r="T30" s="42" t="s">
        <v>61</v>
      </c>
      <c r="U30" s="34" t="str">
        <f>UPPER(TEXT(EDATE(Tabela3789[[#This Row],[Data]],1),"MMM"))</f>
        <v>ABR</v>
      </c>
      <c r="V30" s="34">
        <f>MONTH(Tabela3789[[#This Row],[Data]])</f>
        <v>3</v>
      </c>
      <c r="W30" s="34">
        <f>YEAR(Tabela3789[[#This Row],[Data]])</f>
        <v>2026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Props1.xml><?xml version="1.0" encoding="utf-8"?>
<ds:datastoreItem xmlns:ds="http://schemas.openxmlformats.org/officeDocument/2006/customXml" ds:itemID="{FDD577D4-14E4-4EEF-923A-4EBAC71F5790}">
  <ds:schemaRefs/>
</ds:datastoreItem>
</file>

<file path=customXml/itemProps2.xml><?xml version="1.0" encoding="utf-8"?>
<ds:datastoreItem xmlns:ds="http://schemas.openxmlformats.org/officeDocument/2006/customXml" ds:itemID="{0A30F61C-257E-4E75-80FB-D8B0C71A8AA5}">
  <ds:schemaRefs/>
</ds:datastoreItem>
</file>

<file path=customXml/itemProps3.xml><?xml version="1.0" encoding="utf-8"?>
<ds:datastoreItem xmlns:ds="http://schemas.openxmlformats.org/officeDocument/2006/customXml" ds:itemID="{BB0264FD-2178-41A4-A79A-33DD8AE8D9C6}">
  <ds:schemaRefs/>
</ds:datastoreItem>
</file>

<file path=customXml/itemProps4.xml><?xml version="1.0" encoding="utf-8"?>
<ds:datastoreItem xmlns:ds="http://schemas.openxmlformats.org/officeDocument/2006/customXml" ds:itemID="{8B289CDB-7B95-457B-9C66-1EEEEC37E6BD}">
  <ds:schemaRefs/>
</ds:datastoreItem>
</file>

<file path=customXml/itemProps5.xml><?xml version="1.0" encoding="utf-8"?>
<ds:datastoreItem xmlns:ds="http://schemas.openxmlformats.org/officeDocument/2006/customXml" ds:itemID="{C9992910-B4F9-44C9-8655-111CB29E366C}">
  <ds:schemaRefs/>
</ds:datastoreItem>
</file>

<file path=customXml/itemProps6.xml><?xml version="1.0" encoding="utf-8"?>
<ds:datastoreItem xmlns:ds="http://schemas.openxmlformats.org/officeDocument/2006/customXml" ds:itemID="{DF55D5D7-9CEE-45A2-B3F3-B4150540BB66}">
  <ds:schemaRefs/>
</ds:datastoreItem>
</file>

<file path=customXml/itemProps7.xml><?xml version="1.0" encoding="utf-8"?>
<ds:datastoreItem xmlns:ds="http://schemas.openxmlformats.org/officeDocument/2006/customXml" ds:itemID="{1C4280F7-8083-4FEB-A9B3-1BDF2DF08D0B}">
  <ds:schemaRefs/>
</ds:datastoreItem>
</file>

<file path=customXml/itemProps8.xml><?xml version="1.0" encoding="utf-8"?>
<ds:datastoreItem xmlns:ds="http://schemas.openxmlformats.org/officeDocument/2006/customXml" ds:itemID="{E6BAB375-2C75-49DE-BBE6-0183CDA103CE}">
  <ds:schemaRefs/>
</ds:datastoreItem>
</file>

<file path=customXml/itemProps9.xml><?xml version="1.0" encoding="utf-8"?>
<ds:datastoreItem xmlns:ds="http://schemas.openxmlformats.org/officeDocument/2006/customXml" ds:itemID="{B5A64F59-19FD-471B-BE3A-AF7CB8C8B457}">
  <ds:schemaRefs/>
</ds:datastoreItem>
</file>

<file path=customXml/itemProps10.xml><?xml version="1.0" encoding="utf-8"?>
<ds:datastoreItem xmlns:ds="http://schemas.openxmlformats.org/officeDocument/2006/customXml" ds:itemID="{CD014410-878D-4BE9-AD11-5143B1BF3432}">
  <ds:schemaRefs/>
</ds:datastoreItem>
</file>

<file path=customXml/itemProps11.xml><?xml version="1.0" encoding="utf-8"?>
<ds:datastoreItem xmlns:ds="http://schemas.openxmlformats.org/officeDocument/2006/customXml" ds:itemID="{F9BA4534-F9D4-44A4-AE39-9F5F1AB4AB3D}">
  <ds:schemaRefs/>
</ds:datastoreItem>
</file>

<file path=customXml/itemProps12.xml><?xml version="1.0" encoding="utf-8"?>
<ds:datastoreItem xmlns:ds="http://schemas.openxmlformats.org/officeDocument/2006/customXml" ds:itemID="{BC4D35A4-6710-4650-8EEE-569A41EF3BEA}">
  <ds:schemaRefs/>
</ds:datastoreItem>
</file>

<file path=customXml/itemProps13.xml><?xml version="1.0" encoding="utf-8"?>
<ds:datastoreItem xmlns:ds="http://schemas.openxmlformats.org/officeDocument/2006/customXml" ds:itemID="{53E1F705-D460-471D-B8A6-22197FDD3E6C}">
  <ds:schemaRefs/>
</ds:datastoreItem>
</file>

<file path=customXml/itemProps14.xml><?xml version="1.0" encoding="utf-8"?>
<ds:datastoreItem xmlns:ds="http://schemas.openxmlformats.org/officeDocument/2006/customXml" ds:itemID="{0026E807-624A-43F8-AFA9-C5745F7333D5}">
  <ds:schemaRefs/>
</ds:datastoreItem>
</file>

<file path=customXml/itemProps15.xml><?xml version="1.0" encoding="utf-8"?>
<ds:datastoreItem xmlns:ds="http://schemas.openxmlformats.org/officeDocument/2006/customXml" ds:itemID="{5D2587DD-B947-494F-B592-ED32EC3FA48C}">
  <ds:schemaRefs/>
</ds:datastoreItem>
</file>

<file path=customXml/itemProps16.xml><?xml version="1.0" encoding="utf-8"?>
<ds:datastoreItem xmlns:ds="http://schemas.openxmlformats.org/officeDocument/2006/customXml" ds:itemID="{2324FD1E-A760-496A-B874-0277578C924F}">
  <ds:schemaRefs/>
</ds:datastoreItem>
</file>

<file path=customXml/itemProps17.xml><?xml version="1.0" encoding="utf-8"?>
<ds:datastoreItem xmlns:ds="http://schemas.openxmlformats.org/officeDocument/2006/customXml" ds:itemID="{4804EDD3-91C5-4AD2-AED1-E700712493F7}">
  <ds:schemaRefs/>
</ds:datastoreItem>
</file>

<file path=customXml/itemProps18.xml><?xml version="1.0" encoding="utf-8"?>
<ds:datastoreItem xmlns:ds="http://schemas.openxmlformats.org/officeDocument/2006/customXml" ds:itemID="{A0824453-DFE0-4890-90EC-9218C31EBBDE}">
  <ds:schemaRefs/>
</ds:datastoreItem>
</file>

<file path=customXml/itemProps19.xml><?xml version="1.0" encoding="utf-8"?>
<ds:datastoreItem xmlns:ds="http://schemas.openxmlformats.org/officeDocument/2006/customXml" ds:itemID="{5FA01883-D303-4749-A463-8B99F55CF4DC}">
  <ds:schemaRefs/>
</ds:datastoreItem>
</file>

<file path=customXml/itemProps20.xml><?xml version="1.0" encoding="utf-8"?>
<ds:datastoreItem xmlns:ds="http://schemas.openxmlformats.org/officeDocument/2006/customXml" ds:itemID="{46FC7116-2CA0-469A-84C3-104C6694FF3A}">
  <ds:schemaRefs/>
</ds:datastoreItem>
</file>

<file path=customXml/itemProps21.xml><?xml version="1.0" encoding="utf-8"?>
<ds:datastoreItem xmlns:ds="http://schemas.openxmlformats.org/officeDocument/2006/customXml" ds:itemID="{AA3A4B5E-AA0B-401F-91CB-73B430E4EF1E}">
  <ds:schemaRefs/>
</ds:datastoreItem>
</file>

<file path=customXml/itemProps22.xml><?xml version="1.0" encoding="utf-8"?>
<ds:datastoreItem xmlns:ds="http://schemas.openxmlformats.org/officeDocument/2006/customXml" ds:itemID="{CBD90C60-3F45-42D9-874A-720E1BDEF98B}">
  <ds:schemaRefs/>
</ds:datastoreItem>
</file>

<file path=customXml/itemProps23.xml><?xml version="1.0" encoding="utf-8"?>
<ds:datastoreItem xmlns:ds="http://schemas.openxmlformats.org/officeDocument/2006/customXml" ds:itemID="{B2EB8193-5D68-46FE-94FA-D408DCBBC102}">
  <ds:schemaRefs>
    <ds:schemaRef ds:uri="http://schemas.microsoft.com/DataMashup"/>
  </ds:schemaRefs>
</ds:datastoreItem>
</file>

<file path=customXml/itemProps24.xml><?xml version="1.0" encoding="utf-8"?>
<ds:datastoreItem xmlns:ds="http://schemas.openxmlformats.org/officeDocument/2006/customXml" ds:itemID="{647FB24B-80C2-4E54-A0AD-17FF94AC6729}">
  <ds:schemaRefs/>
</ds:datastoreItem>
</file>

<file path=customXml/itemProps25.xml><?xml version="1.0" encoding="utf-8"?>
<ds:datastoreItem xmlns:ds="http://schemas.openxmlformats.org/officeDocument/2006/customXml" ds:itemID="{48BE4563-B924-49AE-BFB2-5051A3D6D083}">
  <ds:schemaRefs/>
</ds:datastoreItem>
</file>

<file path=customXml/itemProps26.xml><?xml version="1.0" encoding="utf-8"?>
<ds:datastoreItem xmlns:ds="http://schemas.openxmlformats.org/officeDocument/2006/customXml" ds:itemID="{F132CB44-C19E-48E2-9E7C-8DB24E324281}">
  <ds:schemaRefs/>
</ds:datastoreItem>
</file>

<file path=customXml/itemProps27.xml><?xml version="1.0" encoding="utf-8"?>
<ds:datastoreItem xmlns:ds="http://schemas.openxmlformats.org/officeDocument/2006/customXml" ds:itemID="{0CF1B1AF-5ACE-4FB6-A6C3-7AB162A7DBE9}">
  <ds:schemaRefs/>
</ds:datastoreItem>
</file>

<file path=customXml/itemProps28.xml><?xml version="1.0" encoding="utf-8"?>
<ds:datastoreItem xmlns:ds="http://schemas.openxmlformats.org/officeDocument/2006/customXml" ds:itemID="{6CD6C8DE-0599-4931-992A-CECF58D75196}">
  <ds:schemaRefs/>
</ds:datastoreItem>
</file>

<file path=customXml/itemProps29.xml><?xml version="1.0" encoding="utf-8"?>
<ds:datastoreItem xmlns:ds="http://schemas.openxmlformats.org/officeDocument/2006/customXml" ds:itemID="{54A0104B-5E6A-44CA-9CEC-626F50342080}">
  <ds:schemaRefs/>
</ds:datastoreItem>
</file>

<file path=customXml/itemProps30.xml><?xml version="1.0" encoding="utf-8"?>
<ds:datastoreItem xmlns:ds="http://schemas.openxmlformats.org/officeDocument/2006/customXml" ds:itemID="{B57AE3A8-F643-4A52-AB0C-37A8ADF20AF2}">
  <ds:schemaRefs/>
</ds:datastoreItem>
</file>

<file path=customXml/itemProps31.xml><?xml version="1.0" encoding="utf-8"?>
<ds:datastoreItem xmlns:ds="http://schemas.openxmlformats.org/officeDocument/2006/customXml" ds:itemID="{11756151-1D85-4B6A-8EAC-F7D844EC44E1}">
  <ds:schemaRefs/>
</ds:datastoreItem>
</file>

<file path=customXml/itemProps32.xml><?xml version="1.0" encoding="utf-8"?>
<ds:datastoreItem xmlns:ds="http://schemas.openxmlformats.org/officeDocument/2006/customXml" ds:itemID="{295CDF0E-A284-4FC8-BB8E-0120E8A78AC8}">
  <ds:schemaRefs/>
</ds:datastoreItem>
</file>

<file path=customXml/itemProps33.xml><?xml version="1.0" encoding="utf-8"?>
<ds:datastoreItem xmlns:ds="http://schemas.openxmlformats.org/officeDocument/2006/customXml" ds:itemID="{E9C97534-A152-42B9-92F0-10AEE4DE2A8F}">
  <ds:schemaRefs/>
</ds:datastoreItem>
</file>

<file path=customXml/itemProps34.xml><?xml version="1.0" encoding="utf-8"?>
<ds:datastoreItem xmlns:ds="http://schemas.openxmlformats.org/officeDocument/2006/customXml" ds:itemID="{72EB1712-F138-4D02-BE70-FC759B2765CD}">
  <ds:schemaRefs/>
</ds:datastoreItem>
</file>

<file path=customXml/itemProps35.xml><?xml version="1.0" encoding="utf-8"?>
<ds:datastoreItem xmlns:ds="http://schemas.openxmlformats.org/officeDocument/2006/customXml" ds:itemID="{BFE05DBC-97D1-48A1-A7A5-607988748566}">
  <ds:schemaRefs/>
</ds:datastoreItem>
</file>

<file path=customXml/itemProps36.xml><?xml version="1.0" encoding="utf-8"?>
<ds:datastoreItem xmlns:ds="http://schemas.openxmlformats.org/officeDocument/2006/customXml" ds:itemID="{4953DC4B-78C0-485A-9D0C-4416DF0457AD}">
  <ds:schemaRefs/>
</ds:datastoreItem>
</file>

<file path=customXml/itemProps37.xml><?xml version="1.0" encoding="utf-8"?>
<ds:datastoreItem xmlns:ds="http://schemas.openxmlformats.org/officeDocument/2006/customXml" ds:itemID="{C6C31ECA-C99D-43B4-863C-2011714C665C}">
  <ds:schemaRefs/>
</ds:datastoreItem>
</file>

<file path=customXml/itemProps38.xml><?xml version="1.0" encoding="utf-8"?>
<ds:datastoreItem xmlns:ds="http://schemas.openxmlformats.org/officeDocument/2006/customXml" ds:itemID="{C6CD68A9-96A5-49AC-BFEA-1C4198511961}">
  <ds:schemaRefs/>
</ds:datastoreItem>
</file>

<file path=customXml/itemProps39.xml><?xml version="1.0" encoding="utf-8"?>
<ds:datastoreItem xmlns:ds="http://schemas.openxmlformats.org/officeDocument/2006/customXml" ds:itemID="{4543AD09-6903-4F84-A7BE-CFA875D7CBB2}">
  <ds:schemaRefs/>
</ds:datastoreItem>
</file>

<file path=customXml/itemProps40.xml><?xml version="1.0" encoding="utf-8"?>
<ds:datastoreItem xmlns:ds="http://schemas.openxmlformats.org/officeDocument/2006/customXml" ds:itemID="{7F46EE2E-025C-4AFF-BC9E-9074FBCECFB4}">
  <ds:schemaRefs/>
</ds:datastoreItem>
</file>

<file path=customXml/itemProps41.xml><?xml version="1.0" encoding="utf-8"?>
<ds:datastoreItem xmlns:ds="http://schemas.openxmlformats.org/officeDocument/2006/customXml" ds:itemID="{3E3DCDAF-F4D3-4B43-938A-E7AD42218839}">
  <ds:schemaRefs/>
</ds:datastoreItem>
</file>

<file path=customXml/itemProps42.xml><?xml version="1.0" encoding="utf-8"?>
<ds:datastoreItem xmlns:ds="http://schemas.openxmlformats.org/officeDocument/2006/customXml" ds:itemID="{AD243717-E0CA-42BA-84F0-97746E578157}">
  <ds:schemaRefs/>
</ds:datastoreItem>
</file>

<file path=customXml/itemProps43.xml><?xml version="1.0" encoding="utf-8"?>
<ds:datastoreItem xmlns:ds="http://schemas.openxmlformats.org/officeDocument/2006/customXml" ds:itemID="{7DDC60A5-A1B9-43ED-A905-FD03B7806AE8}">
  <ds:schemaRefs/>
</ds:datastoreItem>
</file>

<file path=customXml/itemProps44.xml><?xml version="1.0" encoding="utf-8"?>
<ds:datastoreItem xmlns:ds="http://schemas.openxmlformats.org/officeDocument/2006/customXml" ds:itemID="{658A6510-C5BB-4490-A392-E0288E2D0FD2}">
  <ds:schemaRefs/>
</ds:datastoreItem>
</file>

<file path=customXml/itemProps45.xml><?xml version="1.0" encoding="utf-8"?>
<ds:datastoreItem xmlns:ds="http://schemas.openxmlformats.org/officeDocument/2006/customXml" ds:itemID="{FC736B34-066E-4803-9E95-9F76A0921F77}">
  <ds:schemaRefs/>
</ds:datastoreItem>
</file>

<file path=customXml/itemProps46.xml><?xml version="1.0" encoding="utf-8"?>
<ds:datastoreItem xmlns:ds="http://schemas.openxmlformats.org/officeDocument/2006/customXml" ds:itemID="{ECF645A2-7085-4E1C-A85E-150F62D7157E}">
  <ds:schemaRefs/>
</ds:datastoreItem>
</file>

<file path=customXml/itemProps47.xml><?xml version="1.0" encoding="utf-8"?>
<ds:datastoreItem xmlns:ds="http://schemas.openxmlformats.org/officeDocument/2006/customXml" ds:itemID="{7C383BEC-E874-4338-B63F-F4C3B86B1F8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Mendes</dc:creator>
  <cp:lastModifiedBy>Felipe Mendes</cp:lastModifiedBy>
  <dcterms:created xsi:type="dcterms:W3CDTF">2026-03-23T16:21:08Z</dcterms:created>
  <dcterms:modified xsi:type="dcterms:W3CDTF">2026-03-28T22:14:29Z</dcterms:modified>
</cp:coreProperties>
</file>